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ony_\OneDrive\Documents\Home Automation\HQ WCO Tools\"/>
    </mc:Choice>
  </mc:AlternateContent>
  <bookViews>
    <workbookView xWindow="0" yWindow="0" windowWidth="12855" windowHeight="17430" activeTab="1"/>
  </bookViews>
  <sheets>
    <sheet name="INSTRUCTIONS" sheetId="10" r:id="rId1"/>
    <sheet name="Config" sheetId="13" r:id="rId2"/>
    <sheet name="Data" sheetId="8" r:id="rId3"/>
    <sheet name="Events" sheetId="9" r:id="rId4"/>
    <sheet name="Simulator" sheetId="1" r:id="rId5"/>
    <sheet name="FlexD" sheetId="14" state="hidden" r:id="rId6"/>
    <sheet name="Definitions" sheetId="6" state="hidden" r:id="rId7"/>
    <sheet name="Flowchart" sheetId="7" state="hidden" r:id="rId8"/>
    <sheet name="License" sheetId="12" r:id="rId9"/>
    <sheet name="Lang-EN" sheetId="15" state="hidden" r:id="rId10"/>
    <sheet name="Lang-FR" sheetId="16" state="hidden" r:id="rId1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9" i="9" l="1"/>
  <c r="L19" i="9"/>
  <c r="K19" i="9"/>
  <c r="J19" i="9"/>
  <c r="M18" i="9"/>
  <c r="L18" i="9"/>
  <c r="K18" i="9"/>
  <c r="J18" i="9"/>
  <c r="M17" i="9"/>
  <c r="L17" i="9"/>
  <c r="K17" i="9"/>
  <c r="J17" i="9"/>
  <c r="M16" i="9"/>
  <c r="L16" i="9"/>
  <c r="K16" i="9"/>
  <c r="J16" i="9"/>
  <c r="M15" i="9"/>
  <c r="L15" i="9"/>
  <c r="K15" i="9"/>
  <c r="J15" i="9"/>
  <c r="M14" i="9"/>
  <c r="L14" i="9"/>
  <c r="K14" i="9"/>
  <c r="J14" i="9"/>
  <c r="M13" i="9"/>
  <c r="L13" i="9"/>
  <c r="K13" i="9"/>
  <c r="J13" i="9"/>
  <c r="M12" i="9"/>
  <c r="L12" i="9"/>
  <c r="K12" i="9"/>
  <c r="J12" i="9"/>
  <c r="M11" i="9"/>
  <c r="L11" i="9"/>
  <c r="K11" i="9"/>
  <c r="J11" i="9"/>
  <c r="M10" i="9"/>
  <c r="L10" i="9"/>
  <c r="K10" i="9"/>
  <c r="J10" i="9"/>
  <c r="M9" i="9"/>
  <c r="L9" i="9"/>
  <c r="K9" i="9"/>
  <c r="J9" i="9"/>
  <c r="M8" i="9"/>
  <c r="L8" i="9"/>
  <c r="K8" i="9"/>
  <c r="J8" i="9"/>
  <c r="M7" i="9"/>
  <c r="L7" i="9"/>
  <c r="K7" i="9"/>
  <c r="J7" i="9"/>
  <c r="M6" i="9"/>
  <c r="L6" i="9"/>
  <c r="K6" i="9"/>
  <c r="J6" i="9"/>
  <c r="M5" i="9"/>
  <c r="L5" i="9"/>
  <c r="K5" i="9"/>
  <c r="J5" i="9"/>
  <c r="M4" i="9"/>
  <c r="L4" i="9"/>
  <c r="K4" i="9"/>
  <c r="J4" i="9"/>
  <c r="M3" i="9"/>
  <c r="L3" i="9"/>
  <c r="K3" i="9"/>
  <c r="J3" i="9"/>
  <c r="M2" i="9"/>
  <c r="L2" i="9"/>
  <c r="K2" i="9"/>
  <c r="J2" i="9"/>
  <c r="M30" i="1" l="1"/>
  <c r="C16" i="1" l="1"/>
  <c r="N10" i="9" l="1"/>
  <c r="O10" i="9" s="1"/>
  <c r="N6" i="9"/>
  <c r="O6" i="9" s="1"/>
  <c r="N5" i="9"/>
  <c r="O5" i="9" s="1"/>
  <c r="N2" i="9"/>
  <c r="O2" i="9" s="1"/>
  <c r="N31" i="9"/>
  <c r="N30" i="9"/>
  <c r="N29" i="9"/>
  <c r="N28" i="9"/>
  <c r="N27" i="9"/>
  <c r="N26" i="9"/>
  <c r="N25" i="9"/>
  <c r="N24" i="9"/>
  <c r="N23" i="9"/>
  <c r="N22" i="9"/>
  <c r="N21" i="9"/>
  <c r="N20" i="9"/>
  <c r="N19" i="9"/>
  <c r="N18" i="9"/>
  <c r="N13" i="9"/>
  <c r="O13" i="9" s="1"/>
  <c r="N9" i="9"/>
  <c r="O9" i="9" s="1"/>
  <c r="H32" i="9"/>
  <c r="P23" i="9" l="1"/>
  <c r="R23" i="9" s="1"/>
  <c r="U23" i="9" s="1"/>
  <c r="O23" i="9"/>
  <c r="Q23" i="9" s="1"/>
  <c r="S23" i="9" s="1"/>
  <c r="P22" i="9"/>
  <c r="R22" i="9" s="1"/>
  <c r="T22" i="9" s="1"/>
  <c r="O22" i="9"/>
  <c r="Q22" i="9" s="1"/>
  <c r="S22" i="9" s="1"/>
  <c r="P26" i="9"/>
  <c r="R26" i="9" s="1"/>
  <c r="U26" i="9" s="1"/>
  <c r="O26" i="9"/>
  <c r="Q26" i="9" s="1"/>
  <c r="S26" i="9" s="1"/>
  <c r="P30" i="9"/>
  <c r="R30" i="9" s="1"/>
  <c r="T30" i="9" s="1"/>
  <c r="O30" i="9"/>
  <c r="Q30" i="9" s="1"/>
  <c r="S30" i="9" s="1"/>
  <c r="P31" i="9"/>
  <c r="R31" i="9" s="1"/>
  <c r="U31" i="9" s="1"/>
  <c r="O31" i="9"/>
  <c r="Q31" i="9" s="1"/>
  <c r="S31" i="9" s="1"/>
  <c r="P20" i="9"/>
  <c r="R20" i="9" s="1"/>
  <c r="U20" i="9" s="1"/>
  <c r="O20" i="9"/>
  <c r="Q20" i="9" s="1"/>
  <c r="S20" i="9" s="1"/>
  <c r="P24" i="9"/>
  <c r="R24" i="9" s="1"/>
  <c r="U24" i="9" s="1"/>
  <c r="O24" i="9"/>
  <c r="Q24" i="9" s="1"/>
  <c r="S24" i="9" s="1"/>
  <c r="P28" i="9"/>
  <c r="R28" i="9" s="1"/>
  <c r="U28" i="9" s="1"/>
  <c r="O28" i="9"/>
  <c r="Q28" i="9" s="1"/>
  <c r="S28" i="9" s="1"/>
  <c r="P21" i="9"/>
  <c r="R21" i="9" s="1"/>
  <c r="U21" i="9" s="1"/>
  <c r="O21" i="9"/>
  <c r="Q21" i="9" s="1"/>
  <c r="S21" i="9" s="1"/>
  <c r="P25" i="9"/>
  <c r="R25" i="9" s="1"/>
  <c r="T25" i="9" s="1"/>
  <c r="O25" i="9"/>
  <c r="Q25" i="9" s="1"/>
  <c r="S25" i="9" s="1"/>
  <c r="P29" i="9"/>
  <c r="R29" i="9" s="1"/>
  <c r="T29" i="9" s="1"/>
  <c r="O29" i="9"/>
  <c r="Q29" i="9" s="1"/>
  <c r="S29" i="9" s="1"/>
  <c r="P27" i="9"/>
  <c r="R27" i="9" s="1"/>
  <c r="U27" i="9" s="1"/>
  <c r="O27" i="9"/>
  <c r="Q27" i="9" s="1"/>
  <c r="S27" i="9" s="1"/>
  <c r="P18" i="9"/>
  <c r="R18" i="9" s="1"/>
  <c r="O18" i="9"/>
  <c r="Q18" i="9" s="1"/>
  <c r="S18" i="9" s="1"/>
  <c r="P19" i="9"/>
  <c r="R19" i="9" s="1"/>
  <c r="O19" i="9"/>
  <c r="Q19" i="9" s="1"/>
  <c r="S19" i="9" s="1"/>
  <c r="N12" i="9"/>
  <c r="N11" i="9"/>
  <c r="Q9" i="9"/>
  <c r="S9" i="9" s="1"/>
  <c r="N8" i="9"/>
  <c r="Q6" i="9"/>
  <c r="S6" i="9" s="1"/>
  <c r="Q5" i="9"/>
  <c r="S5" i="9" s="1"/>
  <c r="N16" i="9"/>
  <c r="N15" i="9"/>
  <c r="P13" i="9"/>
  <c r="R13" i="9" s="1"/>
  <c r="Q13" i="9"/>
  <c r="S13" i="9" s="1"/>
  <c r="P10" i="9"/>
  <c r="R10" i="9" s="1"/>
  <c r="T10" i="9" s="1"/>
  <c r="Q10" i="9"/>
  <c r="S10" i="9" s="1"/>
  <c r="P9" i="9"/>
  <c r="R9" i="9" s="1"/>
  <c r="P6" i="9"/>
  <c r="R6" i="9" s="1"/>
  <c r="P5" i="9"/>
  <c r="R5" i="9" s="1"/>
  <c r="T5" i="9" s="1"/>
  <c r="N4" i="9"/>
  <c r="N3" i="9"/>
  <c r="P2" i="9"/>
  <c r="R2" i="9" s="1"/>
  <c r="N14" i="9"/>
  <c r="N17" i="9"/>
  <c r="N7" i="9"/>
  <c r="Q2" i="9"/>
  <c r="S2" i="9" s="1"/>
  <c r="U22" i="9"/>
  <c r="A12" i="1"/>
  <c r="T20" i="9" l="1"/>
  <c r="V20" i="9" s="1"/>
  <c r="W20" i="9" s="1"/>
  <c r="T21" i="9"/>
  <c r="V21" i="9" s="1"/>
  <c r="W21" i="9" s="1"/>
  <c r="T31" i="9"/>
  <c r="V31" i="9" s="1"/>
  <c r="W31" i="9" s="1"/>
  <c r="T23" i="9"/>
  <c r="V23" i="9" s="1"/>
  <c r="W23" i="9" s="1"/>
  <c r="U29" i="9"/>
  <c r="V29" i="9" s="1"/>
  <c r="W29" i="9" s="1"/>
  <c r="U25" i="9"/>
  <c r="V25" i="9" s="1"/>
  <c r="W25" i="9" s="1"/>
  <c r="V22" i="9"/>
  <c r="W22" i="9" s="1"/>
  <c r="U19" i="9"/>
  <c r="U30" i="9"/>
  <c r="V30" i="9" s="1"/>
  <c r="W30" i="9" s="1"/>
  <c r="T24" i="9"/>
  <c r="V24" i="9" s="1"/>
  <c r="W24" i="9" s="1"/>
  <c r="T28" i="9"/>
  <c r="V28" i="9" s="1"/>
  <c r="W28" i="9" s="1"/>
  <c r="T27" i="9"/>
  <c r="V27" i="9" s="1"/>
  <c r="W27" i="9" s="1"/>
  <c r="U18" i="9"/>
  <c r="T26" i="9"/>
  <c r="V26" i="9" s="1"/>
  <c r="W26" i="9" s="1"/>
  <c r="T19" i="9"/>
  <c r="T18" i="9"/>
  <c r="P16" i="9"/>
  <c r="R16" i="9" s="1"/>
  <c r="T16" i="9" s="1"/>
  <c r="O16" i="9"/>
  <c r="Q16" i="9" s="1"/>
  <c r="S16" i="9" s="1"/>
  <c r="P3" i="9"/>
  <c r="R3" i="9" s="1"/>
  <c r="T3" i="9" s="1"/>
  <c r="O3" i="9"/>
  <c r="Q3" i="9" s="1"/>
  <c r="S3" i="9" s="1"/>
  <c r="P11" i="9"/>
  <c r="R11" i="9" s="1"/>
  <c r="O11" i="9"/>
  <c r="Q11" i="9" s="1"/>
  <c r="S11" i="9" s="1"/>
  <c r="P4" i="9"/>
  <c r="R4" i="9" s="1"/>
  <c r="T4" i="9" s="1"/>
  <c r="O4" i="9"/>
  <c r="Q4" i="9" s="1"/>
  <c r="S4" i="9" s="1"/>
  <c r="P12" i="9"/>
  <c r="R12" i="9" s="1"/>
  <c r="T12" i="9" s="1"/>
  <c r="O12" i="9"/>
  <c r="Q12" i="9" s="1"/>
  <c r="S12" i="9" s="1"/>
  <c r="P7" i="9"/>
  <c r="R7" i="9" s="1"/>
  <c r="O7" i="9"/>
  <c r="Q7" i="9" s="1"/>
  <c r="S7" i="9" s="1"/>
  <c r="P17" i="9"/>
  <c r="R17" i="9" s="1"/>
  <c r="T17" i="9" s="1"/>
  <c r="O17" i="9"/>
  <c r="Q17" i="9" s="1"/>
  <c r="S17" i="9" s="1"/>
  <c r="P15" i="9"/>
  <c r="R15" i="9" s="1"/>
  <c r="T15" i="9" s="1"/>
  <c r="O15" i="9"/>
  <c r="Q15" i="9" s="1"/>
  <c r="S15" i="9" s="1"/>
  <c r="P8" i="9"/>
  <c r="R8" i="9" s="1"/>
  <c r="T8" i="9" s="1"/>
  <c r="O8" i="9"/>
  <c r="Q8" i="9" s="1"/>
  <c r="S8" i="9" s="1"/>
  <c r="P14" i="9"/>
  <c r="R14" i="9" s="1"/>
  <c r="O14" i="9"/>
  <c r="Q14" i="9" s="1"/>
  <c r="S14" i="9" s="1"/>
  <c r="U9" i="9"/>
  <c r="U6" i="9"/>
  <c r="U13" i="9"/>
  <c r="T9" i="9"/>
  <c r="T13" i="9"/>
  <c r="U10" i="9"/>
  <c r="V10" i="9" s="1"/>
  <c r="W10" i="9" s="1"/>
  <c r="T6" i="9"/>
  <c r="U5" i="9"/>
  <c r="V5" i="9" s="1"/>
  <c r="W5" i="9" s="1"/>
  <c r="T2" i="9"/>
  <c r="U2" i="9"/>
  <c r="V9" i="9" l="1"/>
  <c r="W9" i="9" s="1"/>
  <c r="V18" i="9"/>
  <c r="W18" i="9" s="1"/>
  <c r="V13" i="9"/>
  <c r="W13" i="9" s="1"/>
  <c r="V2" i="9"/>
  <c r="W2" i="9" s="1"/>
  <c r="V19" i="9"/>
  <c r="W19" i="9" s="1"/>
  <c r="U11" i="9"/>
  <c r="V6" i="9"/>
  <c r="W6" i="9" s="1"/>
  <c r="U14" i="9"/>
  <c r="T11" i="9"/>
  <c r="U7" i="9"/>
  <c r="U4" i="9"/>
  <c r="V4" i="9" s="1"/>
  <c r="W4" i="9" s="1"/>
  <c r="U8" i="9"/>
  <c r="V8" i="9" s="1"/>
  <c r="W8" i="9" s="1"/>
  <c r="T14" i="9"/>
  <c r="U16" i="9"/>
  <c r="V16" i="9" s="1"/>
  <c r="W16" i="9" s="1"/>
  <c r="U12" i="9"/>
  <c r="V12" i="9" s="1"/>
  <c r="W12" i="9" s="1"/>
  <c r="U15" i="9"/>
  <c r="V15" i="9" s="1"/>
  <c r="W15" i="9" s="1"/>
  <c r="U17" i="9"/>
  <c r="V17" i="9" s="1"/>
  <c r="W17" i="9" s="1"/>
  <c r="T7" i="9"/>
  <c r="U3" i="9"/>
  <c r="V3" i="9" s="1"/>
  <c r="W3" i="9" s="1"/>
  <c r="V7" i="9" l="1"/>
  <c r="W7" i="9" s="1"/>
  <c r="V14" i="9"/>
  <c r="W14" i="9" s="1"/>
  <c r="V11" i="9"/>
  <c r="W11" i="9" s="1"/>
  <c r="D22" i="1"/>
  <c r="W32" i="9" l="1"/>
  <c r="V32" i="9"/>
  <c r="D23" i="1"/>
  <c r="D24" i="1" s="1"/>
  <c r="D25" i="1" s="1"/>
  <c r="D26" i="1" s="1"/>
  <c r="D27" i="1" s="1"/>
  <c r="D28" i="1" s="1"/>
  <c r="D29" i="1" s="1"/>
  <c r="D30" i="1" s="1"/>
  <c r="D31" i="1" s="1"/>
  <c r="D32" i="1" s="1"/>
  <c r="D33" i="1" s="1"/>
  <c r="D34" i="1" s="1"/>
  <c r="D35" i="1" s="1"/>
  <c r="D36" i="1" s="1"/>
  <c r="D37" i="1" s="1"/>
  <c r="D38" i="1" s="1"/>
  <c r="D39" i="1" s="1"/>
  <c r="B22" i="1"/>
  <c r="B23" i="1" s="1"/>
  <c r="A22" i="1"/>
  <c r="A23" i="1" s="1"/>
  <c r="C17" i="1"/>
  <c r="C30" i="1" l="1"/>
  <c r="C31" i="1" s="1"/>
  <c r="C32" i="1" s="1"/>
  <c r="B24" i="1"/>
  <c r="A24" i="1"/>
  <c r="C29" i="1" l="1"/>
  <c r="C28" i="1" s="1"/>
  <c r="C27" i="1" s="1"/>
  <c r="A25" i="1"/>
  <c r="B25" i="1"/>
  <c r="C33" i="1"/>
  <c r="A26" i="1" l="1"/>
  <c r="C26" i="1"/>
  <c r="C34" i="1"/>
  <c r="B26" i="1"/>
  <c r="E26" i="1" l="1"/>
  <c r="C25" i="1"/>
  <c r="A27" i="1"/>
  <c r="B27" i="1"/>
  <c r="C35" i="1"/>
  <c r="G26" i="1" l="1"/>
  <c r="I26" i="1" s="1"/>
  <c r="K26" i="1" s="1"/>
  <c r="F26" i="1"/>
  <c r="H26" i="1" s="1"/>
  <c r="J26" i="1" s="1"/>
  <c r="A28" i="1"/>
  <c r="E27" i="1"/>
  <c r="C36" i="1"/>
  <c r="B28" i="1"/>
  <c r="E25" i="1"/>
  <c r="C24" i="1"/>
  <c r="G27" i="1" l="1"/>
  <c r="I27" i="1" s="1"/>
  <c r="K27" i="1" s="1"/>
  <c r="F27" i="1"/>
  <c r="H27" i="1" s="1"/>
  <c r="J27" i="1" s="1"/>
  <c r="G25" i="1"/>
  <c r="I25" i="1" s="1"/>
  <c r="K25" i="1" s="1"/>
  <c r="F25" i="1"/>
  <c r="H25" i="1" s="1"/>
  <c r="J25" i="1" s="1"/>
  <c r="L26" i="1"/>
  <c r="B29" i="1"/>
  <c r="C37" i="1"/>
  <c r="E24" i="1"/>
  <c r="C23" i="1"/>
  <c r="C22" i="1" s="1"/>
  <c r="A29" i="1"/>
  <c r="A30" i="1" s="1"/>
  <c r="E28" i="1"/>
  <c r="L25" i="1" l="1"/>
  <c r="G28" i="1"/>
  <c r="I28" i="1" s="1"/>
  <c r="K28" i="1" s="1"/>
  <c r="F28" i="1"/>
  <c r="H28" i="1" s="1"/>
  <c r="J28" i="1" s="1"/>
  <c r="L27" i="1"/>
  <c r="G24" i="1"/>
  <c r="I24" i="1" s="1"/>
  <c r="K24" i="1" s="1"/>
  <c r="F24" i="1"/>
  <c r="H24" i="1" s="1"/>
  <c r="J24" i="1" s="1"/>
  <c r="C38" i="1"/>
  <c r="B30" i="1"/>
  <c r="E29" i="1"/>
  <c r="E23" i="1"/>
  <c r="E22" i="1"/>
  <c r="L24" i="1" l="1"/>
  <c r="L28" i="1"/>
  <c r="G22" i="1"/>
  <c r="I22" i="1" s="1"/>
  <c r="K22" i="1" s="1"/>
  <c r="F22" i="1"/>
  <c r="H22" i="1" s="1"/>
  <c r="J22" i="1" s="1"/>
  <c r="G29" i="1"/>
  <c r="I29" i="1" s="1"/>
  <c r="K29" i="1" s="1"/>
  <c r="F29" i="1"/>
  <c r="H29" i="1" s="1"/>
  <c r="J29" i="1" s="1"/>
  <c r="G23" i="1"/>
  <c r="I23" i="1" s="1"/>
  <c r="K23" i="1" s="1"/>
  <c r="F23" i="1"/>
  <c r="H23" i="1" s="1"/>
  <c r="J23" i="1" s="1"/>
  <c r="A31" i="1"/>
  <c r="E30" i="1"/>
  <c r="B31" i="1"/>
  <c r="L29" i="1" l="1"/>
  <c r="L23" i="1"/>
  <c r="L22" i="1"/>
  <c r="G30" i="1"/>
  <c r="I30" i="1" s="1"/>
  <c r="K30" i="1" s="1"/>
  <c r="F30" i="1"/>
  <c r="H30" i="1" s="1"/>
  <c r="J30" i="1" s="1"/>
  <c r="B32" i="1"/>
  <c r="A32" i="1"/>
  <c r="E31" i="1"/>
  <c r="G31" i="1" l="1"/>
  <c r="I31" i="1" s="1"/>
  <c r="K31" i="1" s="1"/>
  <c r="F31" i="1"/>
  <c r="H31" i="1" s="1"/>
  <c r="J31" i="1" s="1"/>
  <c r="L30" i="1"/>
  <c r="A33" i="1"/>
  <c r="E32" i="1"/>
  <c r="B33" i="1"/>
  <c r="L31" i="1" l="1"/>
  <c r="G32" i="1"/>
  <c r="I32" i="1" s="1"/>
  <c r="K32" i="1" s="1"/>
  <c r="F32" i="1"/>
  <c r="H32" i="1" s="1"/>
  <c r="J32" i="1" s="1"/>
  <c r="B34" i="1"/>
  <c r="A34" i="1"/>
  <c r="E34" i="1" s="1"/>
  <c r="E33" i="1"/>
  <c r="L32" i="1" l="1"/>
  <c r="G33" i="1"/>
  <c r="I33" i="1" s="1"/>
  <c r="K33" i="1" s="1"/>
  <c r="F33" i="1"/>
  <c r="H33" i="1" s="1"/>
  <c r="J33" i="1" s="1"/>
  <c r="A35" i="1"/>
  <c r="B35" i="1"/>
  <c r="L33" i="1" l="1"/>
  <c r="G34" i="1"/>
  <c r="I34" i="1" s="1"/>
  <c r="K34" i="1" s="1"/>
  <c r="F34" i="1"/>
  <c r="H34" i="1" s="1"/>
  <c r="J34" i="1" s="1"/>
  <c r="B36" i="1"/>
  <c r="A36" i="1"/>
  <c r="E35" i="1"/>
  <c r="L34" i="1" l="1"/>
  <c r="G35" i="1"/>
  <c r="I35" i="1" s="1"/>
  <c r="K35" i="1" s="1"/>
  <c r="F35" i="1"/>
  <c r="H35" i="1" s="1"/>
  <c r="J35" i="1" s="1"/>
  <c r="A37" i="1"/>
  <c r="E36" i="1"/>
  <c r="B37" i="1"/>
  <c r="G36" i="1" l="1"/>
  <c r="I36" i="1" s="1"/>
  <c r="K36" i="1" s="1"/>
  <c r="F36" i="1"/>
  <c r="H36" i="1" s="1"/>
  <c r="J36" i="1" s="1"/>
  <c r="L35" i="1"/>
  <c r="B38" i="1"/>
  <c r="A38" i="1"/>
  <c r="E37" i="1"/>
  <c r="G37" i="1" l="1"/>
  <c r="I37" i="1" s="1"/>
  <c r="K37" i="1" s="1"/>
  <c r="F37" i="1"/>
  <c r="H37" i="1" s="1"/>
  <c r="J37" i="1" s="1"/>
  <c r="L36" i="1"/>
  <c r="A39" i="1"/>
  <c r="C39" i="1" s="1"/>
  <c r="E38" i="1"/>
  <c r="B39" i="1"/>
  <c r="G38" i="1" l="1"/>
  <c r="I38" i="1" s="1"/>
  <c r="K38" i="1" s="1"/>
  <c r="F38" i="1"/>
  <c r="H38" i="1" s="1"/>
  <c r="J38" i="1" s="1"/>
  <c r="L37" i="1"/>
  <c r="E39" i="1"/>
  <c r="L38" i="1" l="1"/>
  <c r="G39" i="1"/>
  <c r="I39" i="1" s="1"/>
  <c r="K39" i="1" s="1"/>
  <c r="K41" i="1" s="1"/>
  <c r="F39" i="1"/>
  <c r="H39" i="1" s="1"/>
  <c r="J39" i="1" s="1"/>
  <c r="L39" i="1" l="1"/>
  <c r="L41" i="1" s="1"/>
  <c r="D18" i="1" s="1"/>
  <c r="D16" i="1"/>
  <c r="D17" i="1" l="1"/>
  <c r="C18" i="1"/>
</calcChain>
</file>

<file path=xl/comments1.xml><?xml version="1.0" encoding="utf-8"?>
<comments xmlns="http://schemas.openxmlformats.org/spreadsheetml/2006/main">
  <authors>
    <author>Tony ILLIG</author>
  </authors>
  <commentList>
    <comment ref="J1" authorId="0" shapeId="0">
      <text>
        <r>
          <rPr>
            <sz val="9"/>
            <color indexed="81"/>
            <rFont val="Tahoma"/>
            <family val="2"/>
          </rPr>
          <t>Anchor average kWh based on the Reference Period (5 previous similar non-critical days and periods). Hourly data has MIN and MAX removed.</t>
        </r>
        <r>
          <rPr>
            <b/>
            <sz val="9"/>
            <color indexed="81"/>
            <rFont val="Tahoma"/>
            <family val="2"/>
          </rPr>
          <t xml:space="preserve">
</t>
        </r>
        <r>
          <rPr>
            <sz val="9"/>
            <color indexed="81"/>
            <rFont val="Tahoma"/>
            <family val="2"/>
          </rPr>
          <t xml:space="preserve">
</t>
        </r>
      </text>
    </comment>
    <comment ref="K1" authorId="0" shapeId="0">
      <text>
        <r>
          <rPr>
            <sz val="9"/>
            <color indexed="81"/>
            <rFont val="Tahoma"/>
            <family val="2"/>
          </rPr>
          <t xml:space="preserve">Peak average kWh based on the Reference Period (5 previous similar non-critical days and periods). Hourly data has MIN and MAX removed.
</t>
        </r>
      </text>
    </comment>
    <comment ref="L1" authorId="0" shapeId="0">
      <text>
        <r>
          <rPr>
            <sz val="9"/>
            <color indexed="81"/>
            <rFont val="Tahoma"/>
            <family val="2"/>
          </rPr>
          <t xml:space="preserve">Actual kWh consumed during the critical anchor period.
</t>
        </r>
      </text>
    </comment>
    <comment ref="M1" authorId="0" shapeId="0">
      <text>
        <r>
          <rPr>
            <sz val="9"/>
            <color indexed="81"/>
            <rFont val="Tahoma"/>
            <family val="2"/>
          </rPr>
          <t xml:space="preserve">Peak kWh consumed during the critical anchor period. This should match column F.
</t>
        </r>
      </text>
    </comment>
    <comment ref="N1" authorId="0" shapeId="0">
      <text>
        <r>
          <rPr>
            <sz val="9"/>
            <color indexed="81"/>
            <rFont val="Tahoma"/>
            <family val="2"/>
          </rPr>
          <t xml:space="preserve">Temperature Adjustment using Method 1 (used if curtailed energy is 40kWh or less). Temperature adjustment equals Anchor Actual less Anchor Average. Cannot be less than zero.
</t>
        </r>
      </text>
    </comment>
    <comment ref="O1" authorId="0" shapeId="0">
      <text>
        <r>
          <rPr>
            <sz val="9"/>
            <color indexed="81"/>
            <rFont val="Tahoma"/>
            <family val="2"/>
          </rPr>
          <t xml:space="preserve">Temperature Adjustment using Method 2 (used if curtailed energy is greater than 40kWh). Temperature adjustment from method 1 is limited to 2 times the Anchor Average, if applicable
</t>
        </r>
      </text>
    </comment>
    <comment ref="P1" authorId="0" shapeId="0">
      <text>
        <r>
          <rPr>
            <sz val="9"/>
            <color indexed="81"/>
            <rFont val="Tahoma"/>
            <family val="2"/>
          </rPr>
          <t xml:space="preserve">Reference Energy using Method 1. Reference Energy equals Anchor Actual less Anchor Average plus Temperature Adjustment using Method 1.
</t>
        </r>
      </text>
    </comment>
    <comment ref="Q1" authorId="0" shapeId="0">
      <text>
        <r>
          <rPr>
            <sz val="9"/>
            <color indexed="81"/>
            <rFont val="Tahoma"/>
            <family val="2"/>
          </rPr>
          <t xml:space="preserve">
Reference Energy using Method 2. Reference Energy equals Anchor Actual less Anchor Average plus Temperature Adjustment using Method 2.
</t>
        </r>
      </text>
    </comment>
    <comment ref="R1" authorId="0" shapeId="0">
      <text>
        <r>
          <rPr>
            <sz val="9"/>
            <color indexed="81"/>
            <rFont val="Tahoma"/>
            <family val="2"/>
          </rPr>
          <t xml:space="preserve">Energy Curtailed with Method 1. Energy Curtailed equals Reference Energy using Method 1 less Peak Actual.
</t>
        </r>
      </text>
    </comment>
    <comment ref="S1" authorId="0" shapeId="0">
      <text>
        <r>
          <rPr>
            <sz val="9"/>
            <color indexed="81"/>
            <rFont val="Tahoma"/>
            <family val="2"/>
          </rPr>
          <t xml:space="preserve">Energy Curtailed with Method 2. Energy Curtailed equals Reference Energy using Method 2 less Peak Actual.
</t>
        </r>
      </text>
    </comment>
    <comment ref="T1" authorId="0" shapeId="0">
      <text>
        <r>
          <rPr>
            <sz val="9"/>
            <color indexed="81"/>
            <rFont val="Tahoma"/>
            <family val="2"/>
          </rPr>
          <t xml:space="preserve">Credit in $ if Energy Curtailed Method 1 results in 40 kWh or less, otherwise 0$.
</t>
        </r>
      </text>
    </comment>
    <comment ref="U1" authorId="0" shapeId="0">
      <text>
        <r>
          <rPr>
            <sz val="9"/>
            <color indexed="81"/>
            <rFont val="Tahoma"/>
            <family val="2"/>
          </rPr>
          <t xml:space="preserve">Credit in $ if Energy Curtailed Method 1 results in greater than 40 kWh, otherwise 0$.
</t>
        </r>
      </text>
    </comment>
    <comment ref="V1" authorId="0" shapeId="0">
      <text>
        <r>
          <rPr>
            <sz val="9"/>
            <color indexed="81"/>
            <rFont val="Tahoma"/>
            <family val="2"/>
          </rPr>
          <t>Actual calculated credit. This should equal column H, but may not, especially for Method 2.</t>
        </r>
      </text>
    </comment>
    <comment ref="W1" authorId="0" shapeId="0">
      <text>
        <r>
          <rPr>
            <sz val="9"/>
            <color indexed="81"/>
            <rFont val="Tahoma"/>
            <family val="2"/>
          </rPr>
          <t xml:space="preserve">Difference between the true calculated credit and HQ''s published credit.
</t>
        </r>
      </text>
    </comment>
  </commentList>
</comments>
</file>

<file path=xl/sharedStrings.xml><?xml version="1.0" encoding="utf-8"?>
<sst xmlns="http://schemas.openxmlformats.org/spreadsheetml/2006/main" count="615" uniqueCount="357">
  <si>
    <t>$/kWh Curtailed</t>
  </si>
  <si>
    <t>AM or PM simulation</t>
  </si>
  <si>
    <t>Temperature Adj</t>
  </si>
  <si>
    <t>Energy Reference</t>
  </si>
  <si>
    <t>Curtailed Energy</t>
  </si>
  <si>
    <t>Hydro Credit $</t>
  </si>
  <si>
    <t>Anchor Avg</t>
  </si>
  <si>
    <t>Peak Avg</t>
  </si>
  <si>
    <t>Anchor Actual</t>
  </si>
  <si>
    <t>Peak Actual</t>
  </si>
  <si>
    <t>M1</t>
  </si>
  <si>
    <t>M2</t>
  </si>
  <si>
    <t>Maximum Credit</t>
  </si>
  <si>
    <t>Credit</t>
  </si>
  <si>
    <t>WCO 2025/2026 Simulator using Calculated Anchor and Peak Averages to Maximise Savings</t>
  </si>
  <si>
    <t>Diff</t>
  </si>
  <si>
    <t>Date</t>
  </si>
  <si>
    <t>Period</t>
  </si>
  <si>
    <t>Estimated Peak</t>
  </si>
  <si>
    <t>Actual Peak</t>
  </si>
  <si>
    <t>Estimated Anchor</t>
  </si>
  <si>
    <t>Actual Anchor</t>
  </si>
  <si>
    <t>Calculated Anchor Target</t>
  </si>
  <si>
    <t>the sum of the averages of the actual values recorded each hour during the corresponding time ranges in the reference period, excluding the minimum and maximum values for each hour;</t>
  </si>
  <si>
    <t>or</t>
  </si>
  <si>
    <t>the sum of the actual values recorded each hour during the period of 2 consecutive hours beginning 4 hours before the start of a peak demand event occurring in the evening, and</t>
  </si>
  <si>
    <t>except if the energy curtailed exceeds 40 k W h, in which case the temperature adjustment is limited to:</t>
  </si>
  <si>
    <t>2 times the sum of the averages of the actual values recorded each hour during the periods of 2 consecutive hours beginning 4 hours before the start of all the corresponding time ranges in the reference period if the peak demand event occurs in the evening, excluding the minimum and maximum values for each hour.</t>
  </si>
  <si>
    <t xml:space="preserve"> ┌──────────────────────────────────────────┐</t>
  </si>
  <si>
    <t xml:space="preserve"> │ Start: Peak Demand Event Identified      │</t>
  </si>
  <si>
    <t xml:space="preserve"> └───────────────────────────┬──────────────┘</t>
  </si>
  <si>
    <t xml:space="preserve">                             ▼</t>
  </si>
  <si>
    <t xml:space="preserve">               ┌────────────────────────────┐</t>
  </si>
  <si>
    <t xml:space="preserve">               └──────────────┬─────────────┘</t>
  </si>
  <si>
    <t xml:space="preserve">                              ▼</t>
  </si>
  <si>
    <t xml:space="preserve">           ┌────────────────────────────────────┐</t>
  </si>
  <si>
    <t xml:space="preserve">           └──────────────────┬─────────────────┘</t>
  </si>
  <si>
    <t xml:space="preserve">     ┌──────────────────────────────────────────────┐</t>
  </si>
  <si>
    <t xml:space="preserve">     │ Compute hourly averages for each peak hour    │</t>
  </si>
  <si>
    <t xml:space="preserve">     │ - Collect actual values for each hour         │</t>
  </si>
  <si>
    <t xml:space="preserve">     │ - Remove min &amp; max                            │</t>
  </si>
  <si>
    <t xml:space="preserve">     │ - Average remaining values                    │</t>
  </si>
  <si>
    <t xml:space="preserve">     └──────────────────┬───────────────────────────┘</t>
  </si>
  <si>
    <t xml:space="preserve">                        ▼</t>
  </si>
  <si>
    <t xml:space="preserve">           ┌──────────────────────────────┐</t>
  </si>
  <si>
    <t xml:space="preserve">           │ Is preliminary curtailed &gt;40 │</t>
  </si>
  <si>
    <t xml:space="preserve">                          │Yes</t>
  </si>
  <si>
    <t xml:space="preserve">                          ▼</t>
  </si>
  <si>
    <t xml:space="preserve">           │ Output final curtailed value │</t>
  </si>
  <si>
    <t xml:space="preserve">           │ (used for winter credit)     │</t>
  </si>
  <si>
    <t xml:space="preserve">           └──────────────────────────────┘</t>
  </si>
  <si>
    <t xml:space="preserve">               │ Determine event type       │</t>
  </si>
  <si>
    <t xml:space="preserve">               │ Morning (3h window) or     │</t>
  </si>
  <si>
    <t xml:space="preserve">               │ Evening (2h window)        │</t>
  </si>
  <si>
    <t xml:space="preserve">           │ Build reference period dataset     │</t>
  </si>
  <si>
    <t xml:space="preserve">           │ (5 weekdays or 5 weekend days)     │</t>
  </si>
  <si>
    <t xml:space="preserve">     ┌───────────────────────────────────────────────┐</t>
  </si>
  <si>
    <t xml:space="preserve">     └──────────────────┬────────────────────────────┘</t>
  </si>
  <si>
    <t xml:space="preserve">     │ Compute PRELIMINARY temperature adjustment   │</t>
  </si>
  <si>
    <t xml:space="preserve">     │ (based on actual pre-event window minus      │</t>
  </si>
  <si>
    <t xml:space="preserve">     │ reference-period averages for same window)   │</t>
  </si>
  <si>
    <t xml:space="preserve">     │ Compute PRELIMINARY reference energy         │</t>
  </si>
  <si>
    <t xml:space="preserve">     │ = sum(hourly averages) + preliminary TA      │</t>
  </si>
  <si>
    <t xml:space="preserve">     │ Compute PRELIMINARY energy curtailed         │</t>
  </si>
  <si>
    <t xml:space="preserve">     │ = max(0, preliminary reference - actual)     │</t>
  </si>
  <si>
    <t xml:space="preserve">           └──────────────┬───────────────┘</t>
  </si>
  <si>
    <t xml:space="preserve">     │ Compute CAPPED temperature adjustment        │</t>
  </si>
  <si>
    <t xml:space="preserve">     │ - Morning: 2 × sum(3h reference averages)    │</t>
  </si>
  <si>
    <t xml:space="preserve">     │ - Evening: 2 × sum(2h reference averages)    │</t>
  </si>
  <si>
    <t xml:space="preserve">     │ - Prorate by number of peak hours            │</t>
  </si>
  <si>
    <t xml:space="preserve">     │ Compute FINAL energy curtailed               │</t>
  </si>
  <si>
    <t xml:space="preserve">     │ = max(0, final reference - actual)           │</t>
  </si>
  <si>
    <t>Net Credit</t>
  </si>
  <si>
    <t>Definitions - April 2025 Tariffs published by Hydro Quebec</t>
  </si>
  <si>
    <t>Event No.</t>
  </si>
  <si>
    <t>Validate</t>
  </si>
  <si>
    <t>TA-M1</t>
  </si>
  <si>
    <t>TA-M2</t>
  </si>
  <si>
    <t>Ref-M1</t>
  </si>
  <si>
    <t>Ref-M2</t>
  </si>
  <si>
    <t>EC-M1</t>
  </si>
  <si>
    <t>EC-M2</t>
  </si>
  <si>
    <t>Credit-M1</t>
  </si>
  <si>
    <t>Credit-M2</t>
  </si>
  <si>
    <t>HQ Total</t>
  </si>
  <si>
    <t>Calculated Total</t>
  </si>
  <si>
    <t>Reference energy</t>
  </si>
  <si>
    <t>Actual consumption</t>
  </si>
  <si>
    <t>Energy curtailed</t>
  </si>
  <si>
    <t>Instructions</t>
  </si>
  <si>
    <t>This workbook has two purposes.</t>
  </si>
  <si>
    <t>1. It can be used to simulate the anticipated Hydro Quebec Winter Credit</t>
  </si>
  <si>
    <t>2. It can validate existing credits against your actual historical usage.</t>
  </si>
  <si>
    <t>In general, all cells are protected, except those in light blue.</t>
  </si>
  <si>
    <t>Light blue cells are for you to populate with your data.</t>
  </si>
  <si>
    <t>To use the simulator, switch to the simulator tab and enter missing values in blue</t>
  </si>
  <si>
    <t>The simulator will calculate the optimal critical anchor and optionally the optimal critical peak value, in kWh.</t>
  </si>
  <si>
    <t>1. Enter all you actual events to date in the Events tab.</t>
  </si>
  <si>
    <t>You can try copying directly from HQ web portal, WCO credit detail, into a separate worksheet and clean up the data first.</t>
  </si>
  <si>
    <t>2. Enter your historical data usage.</t>
  </si>
  <si>
    <t>3. Switch to the Events tab</t>
  </si>
  <si>
    <t>Click on the button "Update".</t>
  </si>
  <si>
    <t>This workbook has example data in blue cells. Replace it with your data!</t>
  </si>
  <si>
    <t>There is a section where you can copy/paste scenarios for future reference. Blue cells are not protected.</t>
  </si>
  <si>
    <t>To validate your winter credits, you will need to do 3 things:</t>
  </si>
  <si>
    <t>The model needs 24 hourly buckets of kWh usage, starting on Nov 15th, 2025.</t>
  </si>
  <si>
    <t>Simply run the query in HA GUI, export the results as CSV, then copy the data to the Data tab.</t>
  </si>
  <si>
    <t>All your data will automatically be calculated and compared with Hydro Quebec existing credits you entered earlier</t>
  </si>
  <si>
    <t>I have included a SQLite query that can be used with Home Assistant, SQLite Web add on. See SQLite tab.</t>
  </si>
  <si>
    <t>Over credit and under credit will be displayed in column W, named "Diff".</t>
  </si>
  <si>
    <t>Don’t' be surprised by the variances greater +/- 0.01$, Hydro Quebec has made many, many errors in their credit calculations to date</t>
  </si>
  <si>
    <t>NOTES and DEFINITIONS</t>
  </si>
  <si>
    <t>Columns C to H should come from your Hydro Quebec Customer Portal, Winter Credit details</t>
  </si>
  <si>
    <t>https://session.hydroquebec.com/client/group/suivi-performance</t>
  </si>
  <si>
    <t>Columns J to W are calculated from your HQ data.</t>
  </si>
  <si>
    <t>Be sure to populate the Data tab first, using the SQLite query supplied.</t>
  </si>
  <si>
    <t>Column Titles and Descriptions</t>
  </si>
  <si>
    <t>Seqential number of the critical event</t>
  </si>
  <si>
    <t>For future use.</t>
  </si>
  <si>
    <t>Period of day for the event (AM/PM).</t>
  </si>
  <si>
    <t>HQ calculated actual critical peak energy consumed (kWh)</t>
  </si>
  <si>
    <t>HQ calculated Reference Energy less Actual (kWh)</t>
  </si>
  <si>
    <t>HQ calculated Reference Energy (Anchor Actual less Anchor Average plus Temperature Adjustment) kWh</t>
  </si>
  <si>
    <t>HQ calculated credit ($)</t>
  </si>
  <si>
    <t>Anchor average kWh based on the Reference Period (5 previous similar non-critical days and periods). Hourly data has MIN and MAX removed.</t>
  </si>
  <si>
    <t>Peak average kWh based on the Reference Period (5 previous similar non-critical days and periods). Hourly data has MIN and MAX removed.</t>
  </si>
  <si>
    <t>Actual kWh consumed during the critical anchor period.</t>
  </si>
  <si>
    <t>Peak kWh consumed during the critical anchor period. This should match column F.</t>
  </si>
  <si>
    <t>Temperature Adjustment using Method 1 (used if curtailed energy is 40kWh or less). Temperature adjustment equals Anchor Actual less Anchor Average. Cannot be less than zero.</t>
  </si>
  <si>
    <t>Energy Curtailed with Method 1. Energy Curtailed equals Reference Energy using Method 1 less Peak Actual.</t>
  </si>
  <si>
    <t>Energy Curtailed with Method 2. Energy Curtailed equals Reference Energy using Method 2 less Peak Actual.</t>
  </si>
  <si>
    <t>Credit in $ if Energy Curtailed Method 1 results in 40 kWh or less, otherwise 0$.</t>
  </si>
  <si>
    <t>Actual calculated credit. This should equal column H, but may not, especially for Method 2.</t>
  </si>
  <si>
    <t>Difference between the true calculated credit and HQ''s published credit.</t>
  </si>
  <si>
    <t>https://www.hydroquebec.com/data/documents-donnees/pdf/electricity-rates.pdf?v=20250401</t>
  </si>
  <si>
    <t>Extracted from English Version:</t>
  </si>
  <si>
    <t>French Version:</t>
  </si>
  <si>
    <t>https://www.hydroquebec.com/data/documents-donnees/pdf/tarifs-electricite.pdf?v=HT-2025-v3</t>
  </si>
  <si>
    <t>NOTE!</t>
  </si>
  <si>
    <t>Temperature Adjustment values are prorated differently for AM and PM critical events.</t>
  </si>
  <si>
    <t>An PM event has a 2 hour anchor period and a 4 hour peak period, thus the terperature adjustment is prorated by 2 (TA * 2).</t>
  </si>
  <si>
    <t>An AM event has a 3 hour anchor period and a 4 hour peak period, thus the terperature adjustment is prorated by 4/3 (TA / 3 * 4).</t>
  </si>
  <si>
    <t>' ------------------------------------------------------------------------------</t>
  </si>
  <si>
    <t>' Written by: Tony ILLIG</t>
  </si>
  <si>
    <t>'</t>
  </si>
  <si>
    <t>' This code is released into the public domain for non-commercial use.</t>
  </si>
  <si>
    <t>' Permission is granted to copy, modify, and redistribute this code, provided</t>
  </si>
  <si>
    <t>' that proper credit is given to the original author in any derivative works</t>
  </si>
  <si>
    <t>' or redistributed versions.</t>
  </si>
  <si>
    <t>' This code is provided "as is" without warranty of any kind, express or</t>
  </si>
  <si>
    <t>' implied. The author shall not be held liable for any damages, losses, or</t>
  </si>
  <si>
    <t>' other issues arising from the use, misuse, or inability to use this code.</t>
  </si>
  <si>
    <t>' Commercial use requires prior written permission from the author.</t>
  </si>
  <si>
    <t>The workbook and its worksheets are protected, but not password enabled.</t>
  </si>
  <si>
    <t>Read the License tab if you wish to make modifications for you own use.</t>
  </si>
  <si>
    <t>Please share any discovered bugs with me on Discord</t>
  </si>
  <si>
    <t>A word from the author:</t>
  </si>
  <si>
    <r>
      <t xml:space="preserve">Under no circumstances does the author condone or encourage the abuse of the Hydro Quebec Winter Credit Option </t>
    </r>
    <r>
      <rPr>
        <b/>
        <i/>
        <sz val="11"/>
        <color theme="1"/>
        <rFont val="Calibri"/>
        <family val="2"/>
        <scheme val="minor"/>
      </rPr>
      <t>by wasteful energy use</t>
    </r>
    <r>
      <rPr>
        <i/>
        <sz val="11"/>
        <color theme="1"/>
        <rFont val="Calibri"/>
        <family val="2"/>
        <scheme val="minor"/>
      </rPr>
      <t xml:space="preserve"> for the sole purpose of deriving an electric utility credit.</t>
    </r>
  </si>
  <si>
    <t>Remarques</t>
  </si>
  <si>
    <t>Moyenne période d'ancrage de référence</t>
  </si>
  <si>
    <t>Moyenne période de pointe de référence</t>
  </si>
  <si>
    <t>$/kWh énergie effacée</t>
  </si>
  <si>
    <t>Simulation AM ou PM</t>
  </si>
  <si>
    <t>Period d'anchorage estimée</t>
  </si>
  <si>
    <t>Period d'anchorage réele</t>
  </si>
  <si>
    <t>Period de pointe estimée</t>
  </si>
  <si>
    <t>Period de pointe réele</t>
  </si>
  <si>
    <t xml:space="preserve">Pour utiliser le simulateur, passez à l'onglet « Simulateur » et saisissez les valeurs manquantes en bleu.    </t>
  </si>
  <si>
    <t xml:space="preserve">Le simulateur calculera l'ancrage critique optimal et, éventuellement, la valeur de pointe critique optimale, en kWh.    </t>
  </si>
  <si>
    <t xml:space="preserve">Une section vous permet de copier/coller des scénarios pour référence future. Les cellules bleues ne sont pas protégées.    </t>
  </si>
  <si>
    <t xml:space="preserve">    </t>
  </si>
  <si>
    <t>Pour valider vos crédits hivernaux, vous devrez effectuer 3 opérations :</t>
  </si>
  <si>
    <t>1. Saisissez tous vos événements réels à ce jour dans l'onglet « Events ».</t>
  </si>
  <si>
    <t>Vous pouvez essayer de copier directement depuis le portail Web du Hydro Québec, les détails de crédit, dans une feuille de calcul séparée et nettoyer les données au préalable.</t>
  </si>
  <si>
    <t>2. Saisissez votre historique de consommation.</t>
  </si>
  <si>
    <t>Le modèle nécessite 24 tranches horaires de consommation en kWh, à partir du 15 novembre 2025.</t>
  </si>
  <si>
    <t>J'ai inclus une requête SQLite qui peut être utilisée avec Home Assistant, l'extension « SQLite Web ». Voir l'onglet SQLite.</t>
  </si>
  <si>
    <t>Il suffit d'exécuter la requête dans l'interface graphique HA, d'exporter les résultats au format CSV, puis de copier les données dans l'onglet « Data »</t>
  </si>
  <si>
    <t>3. Passez à l'onglet « Events ».</t>
  </si>
  <si>
    <t>Cliquez sur le bouton « Update ».</t>
  </si>
  <si>
    <t>Toutes vos données seront automatiquement calculées et comparées aux crédits Hydro Québec existants que vous avez saisis précédemment.</t>
  </si>
  <si>
    <t>Les crédits excédentaires et insuffisants seront affichés dans la colonne W, intitulée « Diff ».</t>
  </si>
  <si>
    <t>Ne soyez pas surpris par les écarts supérieurs à +/- 0,01 $, Hydro Québec a commis de nombreuses erreurs dans ses calculs de crédits à ce jour.</t>
  </si>
  <si>
    <t>Vous pouvez également charger n'importe quelle ligne dans le simulateur en utilisant le bouton approprié « Load row into Simulator » dans l'onglet Événements.</t>
  </si>
  <si>
    <t>Remarque spéciale à l'attention des développeurs et des passionnés :</t>
  </si>
  <si>
    <t xml:space="preserve">Lisez l'onglet Licence si vous souhaitez apporter des modifications pour votre usage personnel.    </t>
  </si>
  <si>
    <t xml:space="preserve">Veuillez me signaler tout bug découvert sur Discord    </t>
  </si>
  <si>
    <t xml:space="preserve">Un mot de l'auteur :    </t>
  </si>
  <si>
    <t>L'auteur ne tolère ni n'encourage en aucun cas l'abus de l'option de crédit hivernal d'Hydro-Québec par une utilisation gaspilleuse de l'énergie dans le seul but d'obtenir un crédit d'électricité.</t>
  </si>
  <si>
    <t>Titres et descriptions des colonnes</t>
  </si>
  <si>
    <t>No. - Numéro séquentiel de l'événement critique.</t>
  </si>
  <si>
    <t>Validation - Pour utilisation future.</t>
  </si>
  <si>
    <t>Heures - Période de la journée pour l'événement (AM/PM).</t>
  </si>
  <si>
    <t>Énergie de référence - Énergie de référence calculée par HQ (référence réelle moins moyenne de référence plus ajustement de température) kWh.</t>
  </si>
  <si>
    <t>Énergie réelle - Énergie de pointe critique réelle consommée selon HQ (kWh).</t>
  </si>
  <si>
    <t>Énergie effacée - Énergie de référence calculée selon HQ (kWh).</t>
  </si>
  <si>
    <t>Crédit - Crédit calculé par le siège social ($).</t>
  </si>
  <si>
    <t>Moyenne des kWh de référence basée sur la période de référence (5 jours et périodes similaires non critiques précédents). Les données horaires ne tiennent pas compte des valeurs MIN et MAX.</t>
  </si>
  <si>
    <t>Moyenne des kWh de pointe basée sur la période de référence (5 jours et périodes similaires non critiques précédents). Les données horaires ne tiennent pas compte des valeurs MIN et MAX.</t>
  </si>
  <si>
    <t>Consommation réelle en kWh pendant la période de référence critique.</t>
  </si>
  <si>
    <t>Consommation de pointe en kWh pendant la période de référence critique. Cette valeur doit correspondre à la colonne F.</t>
  </si>
  <si>
    <t>Ajustement de température selon la méthode 1 (utilisée si l'énergie réduite est inférieure ou égale à 40 kWh). L'ajustement de température est égal à la valeur réelle de référence moins la moyenne de référence. Il ne peut être inférieur à zéro.</t>
  </si>
  <si>
    <t>Énergie de référence selon la méthode 1. L'énergie de référence est égale à la valeur réelle de référence moins la moyenne de référence, plus l'ajustement de température au prorata selon la méthode 1.</t>
  </si>
  <si>
    <t>Énergie de référence selon la méthode 2. L'énergie de référence est égale à la valeur réelle de référence moins la moyenne de référence, plus l'ajustement de température au prorata selon la méthode 2.</t>
  </si>
  <si>
    <t>Énergie réduite selon la méthode 1. L'énergie réduite est égale à l'énergie de référence selon la méthode 1 moins la valeur maximale réelle.</t>
  </si>
  <si>
    <t>Énergie réduite avec la méthode 2. L'énergie réduite est égale à l'énergie de référence calculée à l'aide de la méthode 2, moins la consommation maximale réelle.</t>
  </si>
  <si>
    <t>Crédit en dollars si l'énergie réduite selon la méthode 1 est inférieure ou égale à 40 kWh, sinon 0 $.</t>
  </si>
  <si>
    <t>Crédit en dollars si l'énergie réduite selon la méthode 1 est supérieure à 40 kWh, sinon 0 $.</t>
  </si>
  <si>
    <t>Crédit réel calculé. Il devrait être égal à la colonne H, mais ce n'est pas toujours le cas, en particulier pour la méthode 2.</t>
  </si>
  <si>
    <t>Différence entre le crédit réel calculé et le crédit publié par le siège social.</t>
  </si>
  <si>
    <t>Les valeurs d'ajustement de température sont calculées différemment pour les événements critiques AM et PM.</t>
  </si>
  <si>
    <t>Un événement AM a une période de référence de 3 heures et une période de pointe de 4 heures, donc l'ajustement de température est calculé au prorata de 4/3 (TA / 3 * 4).</t>
  </si>
  <si>
    <t>Un événement PM a une période de référence de 2 heures et une période de pointe de 4 heures, donc l'ajustement de température est calculé au prorata de 2 (TA * 2).</t>
  </si>
  <si>
    <t>Les colonnes C à H doivent provenir de votre portail client Hydro-Québec, détails du crédit hivernal.</t>
  </si>
  <si>
    <t>Les colonnes J à W sont calculées à partir de vos données HQ.</t>
  </si>
  <si>
    <t>Veillez à remplir d'abord l'onglet Données à l'aide de la requête SQLite fournie.</t>
  </si>
  <si>
    <t>NOTES et DÉFINITIONS</t>
  </si>
  <si>
    <t>Special note for developers and enthusiasts:</t>
  </si>
  <si>
    <t>Alternatively, you can simply enter the DATE, AM/PM and the CREDIT AMOUNT in dollars. These are the minimum fields necessary.</t>
  </si>
  <si>
    <t>Vous pouvez également saisir simplement la DATE, AM/PM et le MONTANT DU CRÉDIT en dollars. Ce sont les champs obligatoires.</t>
  </si>
  <si>
    <t xml:space="preserve">Le fichier et ses feuilles de calcul sont protégés, mais ne sont pas protégés par mot de passe.    </t>
  </si>
  <si>
    <t>You can also load any row into the simulator by using the appropriate button "Load row in Simulator"  on the Events tab.</t>
  </si>
  <si>
    <t>HQ Username</t>
  </si>
  <si>
    <t>Contract ID</t>
  </si>
  <si>
    <t>Start Date</t>
  </si>
  <si>
    <t>' Initial Version: February 2, 2026</t>
  </si>
  <si>
    <t>' Updated: v4.x February 6, 2026</t>
  </si>
  <si>
    <t>' The spreadsheet now have the capability to fetch the customer's WCO credits</t>
  </si>
  <si>
    <t>' and historical hourly consumption directly from the HQ customer portal.</t>
  </si>
  <si>
    <t>' The user only needs to supply their user name, password and Contract number.</t>
  </si>
  <si>
    <t>' The password is *NOT* saved anywhere inside the spreadsheet.</t>
  </si>
  <si>
    <t>' The code to fetch the data is 100% VBA. It should run without issues, although</t>
  </si>
  <si>
    <t>' it does rely on .NET Framework 3.5+ to be installed on Windows.</t>
  </si>
  <si>
    <t>' I have tested the spreadsheet and VBA on Windows 11. It has not been tested on MacOS.</t>
  </si>
  <si>
    <t>' The code module HydroQuebec_AzureB2C is based on the excellent Python API Wrapper</t>
  </si>
  <si>
    <t>' found here: https://gitlab.com/hydroqc/hydroqc. It was written with the help</t>
  </si>
  <si>
    <t>' of Antropic Claude Code (LLM) and emulates the same Python login workflow, but</t>
  </si>
  <si>
    <t>' in VBA. This makes the spreadsheet a complete standalone tool for anyone signed up</t>
  </si>
  <si>
    <t>' for HQ Winter Credit Option, aka CPC.</t>
  </si>
  <si>
    <t>Steps 1 and 2 are now fully automated. Switch to the Config tab for instructions on how to fetch your data from the HQ web portal directly. No copy/pasting necessary.</t>
  </si>
  <si>
    <t>Customer Portal Information</t>
  </si>
  <si>
    <t>Les étapes 1 et 2 sont désormais entièrement automatisées. Passez à l'onglet Config pour obtenir des instructions sur la manière de récupérer directement vos données depuis le portail Web HQ. Aucun copier-coller n'est nécessaire.</t>
  </si>
  <si>
    <t>Enter your Hydro Quebec customer portal user name in cell B2.</t>
  </si>
  <si>
    <t>The contract number must be 10 digits long, if not, prefix it with a zero.</t>
  </si>
  <si>
    <t>For the 2025-2026 Winter Season, leave the start date as is: 2025-11-24.</t>
  </si>
  <si>
    <t>Ensure you have internet access.</t>
  </si>
  <si>
    <t>The entire process takes about 1 to 3 minutes. Be patient, you will be told when all the data has been downloaded.</t>
  </si>
  <si>
    <t>Entrez votre nom d'utilisateur du portail client d'Hydro-Québec dans la cellule B2.</t>
  </si>
  <si>
    <t>Le numéro de contrat doit comporter 10 chiffres. Si ce n'est pas le cas, ajoutez un zéro devant.</t>
  </si>
  <si>
    <t>Pour la saison hivernale 2025-2026, laissez la date de début telle quelle : 2025-11-24.</t>
  </si>
  <si>
    <t>Assurez-vous d'avoir accès à Internet.</t>
  </si>
  <si>
    <t>L'ensemble du processus prend environ 1 à 3 minutes. Soyez patient, vous serez averti lorsque toutes les données auront été téléchargées.</t>
  </si>
  <si>
    <t>Subsequent logins will update any missing historical data and missing credits.</t>
  </si>
  <si>
    <t>Les connexions suivantes mettront à jour les données historiques manquantes et les crédits manquants.</t>
  </si>
  <si>
    <t>Mode d'emploi</t>
  </si>
  <si>
    <r>
      <rPr>
        <b/>
        <sz val="11"/>
        <color theme="1"/>
        <rFont val="Calibri"/>
        <family val="2"/>
        <scheme val="minor"/>
      </rPr>
      <t>energy curtailed:</t>
    </r>
    <r>
      <rPr>
        <sz val="11"/>
        <color theme="1"/>
        <rFont val="Calibri"/>
        <family val="2"/>
        <scheme val="minor"/>
      </rPr>
      <t xml:space="preserve"> A value, expressed in kilowatthours, corresponding to the difference between the reference energy and the energy consumption during the peak demand event. This value cannot be negative.</t>
    </r>
  </si>
  <si>
    <t>Reference Energy LESS Peak Demand Actual Consumption</t>
  </si>
  <si>
    <r>
      <rPr>
        <b/>
        <sz val="11"/>
        <color theme="1"/>
        <rFont val="Calibri"/>
        <family val="2"/>
        <scheme val="minor"/>
      </rPr>
      <t>énergie effacée :</t>
    </r>
    <r>
      <rPr>
        <sz val="11"/>
        <color theme="1"/>
        <rFont val="Calibri"/>
        <family val="2"/>
        <scheme val="minor"/>
      </rPr>
      <t xml:space="preserve"> une valeur, exprimée en kilowattheures, qui correspond à la différence entre l’énergie de référence et l’énergie consommée pendant l’événement de pointe. Cette valeur ne peut être négative.</t>
    </r>
  </si>
  <si>
    <r>
      <rPr>
        <b/>
        <sz val="11"/>
        <color theme="1"/>
        <rFont val="Calibri"/>
        <family val="2"/>
        <scheme val="minor"/>
      </rPr>
      <t>peak demand event:</t>
    </r>
    <r>
      <rPr>
        <sz val="11"/>
        <color theme="1"/>
        <rFont val="Calibri"/>
        <family val="2"/>
        <scheme val="minor"/>
      </rPr>
      <t xml:space="preserve"> The sequence of peak hours indicated by Hydro‑Québec in the peak demand event notification sent to the customer in accordance with Article 2.62.</t>
    </r>
  </si>
  <si>
    <r>
      <rPr>
        <b/>
        <sz val="11"/>
        <color theme="1"/>
        <rFont val="Calibri"/>
        <family val="2"/>
        <scheme val="minor"/>
      </rPr>
      <t>événement de pointe :</t>
    </r>
    <r>
      <rPr>
        <sz val="11"/>
        <color theme="1"/>
        <rFont val="Calibri"/>
        <family val="2"/>
        <scheme val="minor"/>
      </rPr>
      <t xml:space="preserve"> la séquence d’heures de pointe indiquée par Hydro-Québec dans l’avis d’événement de pointe transmis au client ou à la cliente conformément à l’article 2.62.</t>
    </r>
  </si>
  <si>
    <r>
      <rPr>
        <b/>
        <sz val="11"/>
        <color theme="1"/>
        <rFont val="Calibri"/>
        <family val="2"/>
        <scheme val="minor"/>
      </rPr>
      <t>peak hours:</t>
    </r>
    <r>
      <rPr>
        <sz val="11"/>
        <color theme="1"/>
        <rFont val="Calibri"/>
        <family val="2"/>
        <scheme val="minor"/>
      </rPr>
      <t xml:space="preserve"> All hours from 06:00 to 10:00 and from 16:00 to 20:00 during the winter period, excluding December 24, 25, 26 and 31, January 1 and 2, as well as Good Friday and Easter Monday when the latter fall within the winter period.</t>
    </r>
  </si>
  <si>
    <t>AM PEAK: 6-10am
PM PEAK: 4-8pm</t>
  </si>
  <si>
    <r>
      <rPr>
        <b/>
        <sz val="11"/>
        <color theme="1"/>
        <rFont val="Calibri"/>
        <family val="2"/>
        <scheme val="minor"/>
      </rPr>
      <t>heures de pointe :</t>
    </r>
    <r>
      <rPr>
        <sz val="11"/>
        <color theme="1"/>
        <rFont val="Calibri"/>
        <family val="2"/>
        <scheme val="minor"/>
      </rPr>
      <t xml:space="preserve"> toutes les heures entre 6 h et 10 h et entre 16 h et 20 h en période d’hiver, sauf pour les 24, 25, 26 et 31 décembre, les 1er et 2 janvier ainsi que le Vendredi saint et le lundi de Pâques quand ces deux jours surviennent en période d’hiver.</t>
    </r>
  </si>
  <si>
    <r>
      <rPr>
        <b/>
        <sz val="11"/>
        <color theme="1"/>
        <rFont val="Calibri"/>
        <family val="2"/>
        <scheme val="minor"/>
      </rPr>
      <t>reference energy:</t>
    </r>
    <r>
      <rPr>
        <sz val="11"/>
        <color theme="1"/>
        <rFont val="Calibri"/>
        <family val="2"/>
        <scheme val="minor"/>
      </rPr>
      <t xml:space="preserve"> A value, expressed in kilowatthours, representing the customer’s estimated energy consumption during the peak demand event according to their normal consumption profile. This value is equal to the sum of the averages of the actual values recorded each hour during the relevant time range in the reference period, excluding the minimum and maximum values for each hour, and the temperature adjustment.</t>
    </r>
  </si>
  <si>
    <t>An estimate of energy consumption during the peak demand event: Peak Average plus Temperature Adjustment</t>
  </si>
  <si>
    <r>
      <rPr>
        <b/>
        <sz val="11"/>
        <color theme="1"/>
        <rFont val="Calibri"/>
        <family val="2"/>
        <scheme val="minor"/>
      </rPr>
      <t>énergie de référence :</t>
    </r>
    <r>
      <rPr>
        <sz val="11"/>
        <color theme="1"/>
        <rFont val="Calibri"/>
        <family val="2"/>
        <scheme val="minor"/>
      </rPr>
      <t xml:space="preserve"> une valeur, exprimée en kilowattheures, qui représente une estimation de la consommation d’énergie du client ou de la cliente pendant l’événement de pointe d’après son profil habituel de consommation. Cette valeur correspond à la somme des moyennes des valeurs réelles enregistrées chaque heure durant la plage horaire pertinente de la période de référence, exclusion faite des valeurs minimale et maximale de chaque heure, et de l’ajustement pour la température.</t>
    </r>
  </si>
  <si>
    <r>
      <rPr>
        <b/>
        <sz val="11"/>
        <color theme="1"/>
        <rFont val="Calibri"/>
        <family val="2"/>
        <scheme val="minor"/>
      </rPr>
      <t>reference period:</t>
    </r>
    <r>
      <rPr>
        <sz val="11"/>
        <color theme="1"/>
        <rFont val="Calibri"/>
        <family val="2"/>
        <scheme val="minor"/>
      </rPr>
      <t xml:space="preserve"> Depending on whether the peak demand event occurs on a weekday or weekend, the period corresponding to the peak hours of the 5 weekdays or 5 weekend days preceding the day of the peak demand event and during which there was no such event.</t>
    </r>
  </si>
  <si>
    <t>A period of 5 similar days with no peak demand event</t>
  </si>
  <si>
    <r>
      <rPr>
        <b/>
        <sz val="11"/>
        <color theme="1"/>
        <rFont val="Calibri"/>
        <family val="2"/>
        <scheme val="minor"/>
      </rPr>
      <t>période de référence :</t>
    </r>
    <r>
      <rPr>
        <sz val="11"/>
        <color theme="1"/>
        <rFont val="Calibri"/>
        <family val="2"/>
        <scheme val="minor"/>
      </rPr>
      <t xml:space="preserve"> selon que l’événement de pointe a lieu un jour de semaine ou de fin de semaine, la période correspondant aux heures de pointe comprises dans les 5 jours de semaine ou les 5 jours de fin de semaine précédant la journée de l’événement de pointe et au cours desquels il n’y a pas eu d’événement de pointe.</t>
    </r>
  </si>
  <si>
    <r>
      <rPr>
        <b/>
        <sz val="11"/>
        <color theme="1"/>
        <rFont val="Calibri"/>
        <family val="2"/>
        <scheme val="minor"/>
      </rPr>
      <t>temperature adjustment:</t>
    </r>
    <r>
      <rPr>
        <sz val="11"/>
        <color theme="1"/>
        <rFont val="Calibri"/>
        <family val="2"/>
        <scheme val="minor"/>
      </rPr>
      <t xml:space="preserve"> A value, expressed in kilowatthours, that is equal to the difference between:</t>
    </r>
  </si>
  <si>
    <t>Temperature adjustment for AM peak demand events</t>
  </si>
  <si>
    <r>
      <rPr>
        <b/>
        <sz val="11"/>
        <color theme="1"/>
        <rFont val="Calibri"/>
        <family val="2"/>
        <scheme val="minor"/>
      </rPr>
      <t xml:space="preserve">ajustement pour la température : </t>
    </r>
    <r>
      <rPr>
        <sz val="11"/>
        <color theme="1"/>
        <rFont val="Calibri"/>
        <family val="2"/>
        <scheme val="minor"/>
      </rPr>
      <t>une valeur, exprimée  en kilowattheures, qui correspond à la différence entre :</t>
    </r>
  </si>
  <si>
    <r>
      <t xml:space="preserve">the </t>
    </r>
    <r>
      <rPr>
        <b/>
        <sz val="11"/>
        <color rgb="FFFF0000"/>
        <rFont val="Calibri"/>
        <family val="2"/>
        <scheme val="minor"/>
      </rPr>
      <t>sum of the actual values</t>
    </r>
    <r>
      <rPr>
        <sz val="11"/>
        <color theme="1"/>
        <rFont val="Calibri"/>
        <family val="2"/>
        <scheme val="minor"/>
      </rPr>
      <t xml:space="preserve"> recorded each hour during the period of 3 consecutive hours beginning 5 hours before the start of a peak demand event that occurs in the morning, and</t>
    </r>
  </si>
  <si>
    <t>– la somme des valeurs réelles enregistrées chaque heure durant la période de 3 heures consécutives débutant 5 heures avant le début d’un événement de pointe qui a lieu le matin et</t>
  </si>
  <si>
    <r>
      <t>the</t>
    </r>
    <r>
      <rPr>
        <b/>
        <sz val="11"/>
        <color rgb="FFFF0000"/>
        <rFont val="Calibri"/>
        <family val="2"/>
        <scheme val="minor"/>
      </rPr>
      <t xml:space="preserve"> sum of the averages</t>
    </r>
    <r>
      <rPr>
        <sz val="11"/>
        <rFont val="Calibri"/>
        <family val="2"/>
        <scheme val="minor"/>
      </rPr>
      <t xml:space="preserve"> of the actual values recorded each hour during the corresponding time ranges in the reference period, excluding the minimum and maximum values for each hour;</t>
    </r>
  </si>
  <si>
    <t>– la somme des moyennes des valeurs réelles  enregistrées chaque heure durant les plages  horaires correspondantes de la période de référence, exclusion faite des valeurs minimale  et maximale de chaque heure ;</t>
  </si>
  <si>
    <t xml:space="preserve"> ou </t>
  </si>
  <si>
    <t>Temperature adjustment for PM peak demand events</t>
  </si>
  <si>
    <t xml:space="preserve">– la somme des valeurs réelles enregistrées chaque  heure durant la période de 2 heures consécutives  débutant 4 heures avant le début d’un événement  de pointe qui a lieu le soir et </t>
  </si>
  <si>
    <t xml:space="preserve">– la somme des moyennes des valeurs réelles  enregistrées chaque heure durant les plages  horaires correspondantes de la période de  référence, exclusion faite des valeurs minimale  et maximale de chaque heure ; </t>
  </si>
  <si>
    <t>EXCEPTION</t>
  </si>
  <si>
    <t xml:space="preserve">sauf si l’énergie effacée dépasse 40 k W h, auquel  cas l’ajustement pour la température est limité à : </t>
  </si>
  <si>
    <r>
      <t>2 times the</t>
    </r>
    <r>
      <rPr>
        <b/>
        <sz val="11"/>
        <color rgb="FFFF0000"/>
        <rFont val="Calibri"/>
        <family val="2"/>
        <scheme val="minor"/>
      </rPr>
      <t xml:space="preserve"> sum of the averages</t>
    </r>
    <r>
      <rPr>
        <sz val="11"/>
        <color rgb="FFFF0000"/>
        <rFont val="Calibri"/>
        <family val="2"/>
        <scheme val="minor"/>
      </rPr>
      <t xml:space="preserve"> </t>
    </r>
    <r>
      <rPr>
        <sz val="11"/>
        <rFont val="Calibri"/>
        <family val="2"/>
        <scheme val="minor"/>
      </rPr>
      <t>of the actual values recorded each hour during the periods of 3 consecutive hours beginning 5 hours before all the corresponding time ranges in the reference period if the peak demand event occurs in the morning, excluding the minimum and maximum values for each hour;</t>
    </r>
  </si>
  <si>
    <t xml:space="preserve">– 2 fois la somme des moyennes des valeurs réelles  enregistrées chaque heure durant les périodes de  3 heures consécutives débutant 5 heures avant  toutes les plages horaires correspondantes de la  période de référence si l’événement de pointe a  lieu le matin, exclusion faite des valeurs minimale  et maximale de chaque heure ; </t>
  </si>
  <si>
    <t xml:space="preserve">ou </t>
  </si>
  <si>
    <t xml:space="preserve">– 2 fois la somme des moyennes des valeurs réelles  enregistrées chaque heure durant les périodes de  2 heures consécutives débutant 4 heures avant  toutes les plages horaires correspondantes de la  période de référence si l’événement de pointe a  lieu le soir, exclusion faite des valeurs minimale et  maximale de chaque heure.  </t>
  </si>
  <si>
    <t>This value (temperature adjustment) is prorated according to the number of hours included in the peak demand event.</t>
  </si>
  <si>
    <t>In all cases, the temperature adjustment is prorated by 133% if an AM event, otherwiise 200% if it is a PM event</t>
  </si>
  <si>
    <t>Cette valeur (l'ajustement de temperature) est ajustée au prorata du nombre d’heures  comprises dans l’événement de pointe.</t>
  </si>
  <si>
    <t>AM - Limit the temperature adjustment above to a maximum of 2 times the anchor average.</t>
  </si>
  <si>
    <t>PM - Limit the temperature adjustment above to a maximum of 2 times the anchor average.</t>
  </si>
  <si>
    <t xml:space="preserve">     │ = sum(hourly averages) + MIN( capped TA, Preliminary TA)│</t>
  </si>
  <si>
    <t xml:space="preserve">     │ Compute FINAL reference energy                          │</t>
  </si>
  <si>
    <t xml:space="preserve">     ┌─────────────────────────────────────────────────────────┐</t>
  </si>
  <si>
    <t xml:space="preserve">     └──────────────────┬──────────────────────────────────────┘</t>
  </si>
  <si>
    <t>Would FlexD be more advantageous?</t>
  </si>
  <si>
    <t>Anchor 5 day Average</t>
  </si>
  <si>
    <t>Peak 5 day Average</t>
  </si>
  <si>
    <t>No</t>
  </si>
  <si>
    <t>Refresh all historical data</t>
  </si>
  <si>
    <t>Future development</t>
  </si>
  <si>
    <t>Currently, all calculations suggest Flex-D is capped at 20% cost reduction, while WVO can have cost reductions as high as 47%</t>
  </si>
  <si>
    <t>Note</t>
  </si>
  <si>
    <t>Note: Home Assistant users with HydroQC add, please see https://github.com/illigtr/hydroqc for additional tools to use with this simulator!</t>
  </si>
  <si>
    <t>This worksheet needs macros enabled. Please click on "Enable Content". You can select your language preference thereafter.</t>
  </si>
  <si>
    <t xml:space="preserve">Cette feuille de calcul nécessite l'activation des macros. Veuillez cliquer sur « Activer le contenu ». Vous pourrez ensuite sélectionner votre langue préférée.
</t>
  </si>
  <si>
    <t>Under no circumstances does the author condone or encourage the abuse of the Hydro Quebec Winter Credit Option by wasteful energy use for the sole purpose of deriving an electric utility credit.</t>
  </si>
  <si>
    <t>1. Il peut être utilisé pour simuler le crédit hivernal prévu d'Hydro-Québec.</t>
  </si>
  <si>
    <t>2. Il peut valider les crédits existants par rapport à votre consommation historique réelle.</t>
  </si>
  <si>
    <t>Ce ficher a deux objectifs.</t>
  </si>
  <si>
    <t>En général, toutes les cellules sont protégées, sauf celles en bleu ou orange clair.</t>
  </si>
  <si>
    <t>In general, all cells are protected, except those in light blue or orange</t>
  </si>
  <si>
    <t>Light blue/orange cells are for you to populate with your data.</t>
  </si>
  <si>
    <t>Les cellules bleu/orange clair sont destinées à être remplies avec vos données.</t>
  </si>
  <si>
    <t>Click on the button Login to HQ Customer Portal.</t>
  </si>
  <si>
    <t>Cliquez sur le bouton « Login to HQ Customer Portal » et récupérez les données.</t>
  </si>
  <si>
    <t>Informations sur le portail client</t>
  </si>
  <si>
    <t>Nom d'utilisateur HQ</t>
  </si>
  <si>
    <t>Identifiant du contrat</t>
  </si>
  <si>
    <t>Date de début</t>
  </si>
  <si>
    <t>Actualiser toutes les données historiques</t>
  </si>
  <si>
    <t>----------------------------------------------- Config Page ------------------------</t>
  </si>
  <si>
    <t>Temperature Adjustment using Method 2 (used if curtailed energy is greater than 40kWh). Temperature adjustment is limited to 2 times the Anchor Average. Anchor Actual is ignored.</t>
  </si>
  <si>
    <t>Reference Energy using Method 1. Reference Energy equals Anchor Actual less Anchor Average plus prorated Temperature Adjustment using Method 1.</t>
  </si>
  <si>
    <t>Reference Energy using Method 2. Reference Energy equals Anchor Actual less Anchor Average plus prorated Temperature Adjustment using Method 2.</t>
  </si>
  <si>
    <t>Credit in $ if Energy Curtailed Method 1 results in greater than 40 kWh, otherwise 0$.</t>
  </si>
  <si>
    <t>Ajustement de température selon la méthode 2 (utilisée si l'énergie réduite est supérieure à 40 kWh). L'ajustement de température est limité,  à deux fois la moyenne de référence.</t>
  </si>
  <si>
    <t>----------------- Simulator Page ------------</t>
  </si>
  <si>
    <t>----------------------------------------------- Events Page ------------------------</t>
  </si>
  <si>
    <t>Cible d'ancrage calculée</t>
  </si>
  <si>
    <t>Target</t>
  </si>
  <si>
    <t>Anchor target and credit if curtailed energy is less than 40kWh</t>
  </si>
  <si>
    <t>Suggested Peak Target - if anchor target missed</t>
  </si>
  <si>
    <t>Otherwise, use the clear button and enter the mandatory orange field values</t>
  </si>
  <si>
    <t>See the Events tab to load an event automatically into the simulator.</t>
  </si>
  <si>
    <t>Alternate anchor target if curtailed energy exceeds 40kWh, maximum HQ credit possible.</t>
  </si>
  <si>
    <t>Your optimised anchor target will appear in cell A12 and C16</t>
  </si>
  <si>
    <t>The data table below shows what happens if you increase or decrease your anchor target, +/- 1 kWh per row above and below</t>
  </si>
  <si>
    <t>If you know your actual anchor energy. Enter it here. If your credit was reduced, you may be able to maximise your credit by adjusting your peak estimate shown in C17.</t>
  </si>
  <si>
    <t>If we are part the critical event, you can enter your actual critical event energy used.</t>
  </si>
  <si>
    <t>ï</t>
  </si>
  <si>
    <t>Consultez l'onglet Événements pour charger automatiquement un événement dans le simulateur.</t>
  </si>
  <si>
    <t>Sinon, utilisez le bouton Effacer et saisissez les valeurs obligatoires dans les champs orange.</t>
  </si>
  <si>
    <t>Votre objectif d'ancrage optimisé apparaîtra dans les cellules A12 et C16.</t>
  </si>
  <si>
    <t>Le tableau de données ci-dessous montre ce qui se passe si vous augmentez ou diminuez votre objectif d'ancrage de +/- 1 kWh par ligne au-dessus et en dessous.</t>
  </si>
  <si>
    <t>Si vous connaissez votre consommation énergétique réelle, saisissez-la ici. Si votre crédit a été réduit, vous pouvez peut-être maximiser votre crédit en ajustant votre estimation de pointe indiquée dans C17.</t>
  </si>
  <si>
    <t>Si nous faisons partie de l'événement critique, vous pouvez saisir votre consommation énergétique réelle lors de cet événement.</t>
  </si>
  <si>
    <t>Remarque : les utilisateurs de Home Assistant avec HydroQC add peuvent consulter https://github.com/illigtr/hydroqc pour obtenir des outils supplémentaires à utiliser avec ce simulateur !</t>
  </si>
  <si>
    <t>Cible de référence et crédit si l'énergie réduite est inférieure à 40 kWh</t>
  </si>
  <si>
    <t>Cible maximale suggérée - si la cible de référence n'est pas atteinte</t>
  </si>
  <si>
    <t>Cible de référence alternative si l'énergie réduite dépasse 40 kWh, crédit HQ maximal possible.</t>
  </si>
  <si>
    <t>Dates - Date de l'événement critique. Format: aaaa-mm-jj</t>
  </si>
  <si>
    <t>Date of the critical event. Must be in YYYY-MM-DD format.</t>
  </si>
  <si>
    <t>en</t>
  </si>
  <si>
    <t>Enter your contract number in cell B3. You can find this number on your invoice, on page 2, in the left hand column.</t>
  </si>
  <si>
    <t>Entrez votre numéro de contrat dans la cellule B3. Vous trouverez ce numéro sur votre facture, à la page 2, dans la colonne de gauche.</t>
  </si>
  <si>
    <t>Yes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</si>
</sst>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8" formatCode="&quot;$&quot;#,##0.00;[Red]\-&quot;$&quot;#,##0.00"/>
    <numFmt numFmtId="44" formatCode="_-&quot;$&quot;* #,##0.00_-;\-&quot;$&quot;* #,##0.00_-;_-&quot;$&quot;* &quot;-&quot;??_-;_-@_-"/>
    <numFmt numFmtId="43" formatCode="_-* #,##0.00_-;\-* #,##0.00_-;_-* &quot;-&quot;??_-;_-@_-"/>
    <numFmt numFmtId="164" formatCode="_-&quot;$&quot;* #,##0.00000_-;\-&quot;$&quot;* #,##0.00000_-;_-&quot;$&quot;* &quot;-&quot;??_-;_-@_-"/>
    <numFmt numFmtId="165" formatCode="_-* #,##0.00000_-;\-* #,##0.00000_-;_-* &quot;-&quot;??_-;_-@_-"/>
  </numFmts>
  <fonts count="22"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scheme val="minor"/>
    </font>
    <font>
      <i/>
      <sz val="11"/>
      <color theme="1"/>
      <name val="Calibri"/>
      <family val="2"/>
      <scheme val="minor"/>
    </font>
    <font>
      <b/>
      <sz val="11"/>
      <color rgb="FFFF0000"/>
      <name val="Calibri"/>
      <family val="2"/>
      <scheme val="minor"/>
    </font>
    <font>
      <b/>
      <sz val="12"/>
      <color rgb="FFC00000"/>
      <name val="Calibri"/>
      <family val="2"/>
      <scheme val="minor"/>
    </font>
    <font>
      <b/>
      <sz val="14"/>
      <color rgb="FFFF0000"/>
      <name val="Calibri"/>
      <family val="2"/>
      <scheme val="minor"/>
    </font>
    <font>
      <sz val="11"/>
      <color theme="1"/>
      <name val="Courier New"/>
      <family val="3"/>
    </font>
    <font>
      <b/>
      <sz val="14"/>
      <color theme="1"/>
      <name val="Calibri"/>
      <family val="2"/>
      <scheme val="minor"/>
    </font>
    <font>
      <i/>
      <sz val="11"/>
      <name val="Calibri"/>
      <family val="2"/>
      <scheme val="minor"/>
    </font>
    <font>
      <u/>
      <sz val="11"/>
      <color theme="10"/>
      <name val="Calibri"/>
      <family val="2"/>
      <scheme val="minor"/>
    </font>
    <font>
      <sz val="9"/>
      <color indexed="81"/>
      <name val="Tahoma"/>
      <family val="2"/>
    </font>
    <font>
      <b/>
      <sz val="9"/>
      <color indexed="81"/>
      <name val="Tahoma"/>
      <family val="2"/>
    </font>
    <font>
      <sz val="12"/>
      <color theme="1"/>
      <name val="Calibri"/>
      <family val="2"/>
      <scheme val="minor"/>
    </font>
    <font>
      <b/>
      <i/>
      <sz val="11"/>
      <color theme="1"/>
      <name val="Calibri"/>
      <family val="2"/>
      <scheme val="minor"/>
    </font>
    <font>
      <b/>
      <i/>
      <sz val="12"/>
      <color theme="1"/>
      <name val="Calibri"/>
      <family val="2"/>
      <scheme val="minor"/>
    </font>
    <font>
      <sz val="11"/>
      <name val="Calibri"/>
      <family val="2"/>
      <scheme val="minor"/>
    </font>
    <font>
      <sz val="11"/>
      <color rgb="FF000000"/>
      <name val="Calibri"/>
      <family val="2"/>
    </font>
    <font>
      <sz val="14"/>
      <color theme="1"/>
      <name val="Wingdings"/>
      <charset val="2"/>
    </font>
    <font>
      <sz val="10"/>
      <color theme="1"/>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FFFF00"/>
        <bgColor indexed="64"/>
      </patternFill>
    </fill>
  </fills>
  <borders count="1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2" fillId="0" borderId="0" applyNumberFormat="0" applyFill="0" applyBorder="0" applyAlignment="0" applyProtection="0"/>
  </cellStyleXfs>
  <cellXfs count="118">
    <xf numFmtId="0" fontId="0" fillId="0" borderId="0" xfId="0"/>
    <xf numFmtId="0" fontId="4" fillId="0" borderId="0" xfId="0" applyFont="1"/>
    <xf numFmtId="0" fontId="5" fillId="0" borderId="0" xfId="0" applyFont="1"/>
    <xf numFmtId="43" fontId="0" fillId="0" borderId="0" xfId="1" applyFont="1"/>
    <xf numFmtId="43" fontId="0" fillId="3" borderId="0" xfId="1" applyFont="1" applyFill="1"/>
    <xf numFmtId="44" fontId="2" fillId="0" borderId="0" xfId="2" applyFont="1"/>
    <xf numFmtId="43" fontId="0" fillId="4" borderId="4" xfId="1" applyFont="1" applyFill="1" applyBorder="1"/>
    <xf numFmtId="43" fontId="0" fillId="5" borderId="4" xfId="1" applyFont="1" applyFill="1" applyBorder="1"/>
    <xf numFmtId="44" fontId="2" fillId="4" borderId="4" xfId="2" applyFont="1" applyFill="1" applyBorder="1"/>
    <xf numFmtId="0" fontId="6" fillId="0" borderId="0" xfId="0" applyFont="1" applyAlignment="1">
      <alignment horizontal="right"/>
    </xf>
    <xf numFmtId="44" fontId="6" fillId="0" borderId="0" xfId="0" applyNumberFormat="1" applyFont="1"/>
    <xf numFmtId="43" fontId="6" fillId="0" borderId="0" xfId="1" applyFont="1" applyFill="1" applyBorder="1"/>
    <xf numFmtId="44" fontId="0" fillId="0" borderId="4" xfId="0" applyNumberFormat="1" applyBorder="1" applyAlignment="1"/>
    <xf numFmtId="14" fontId="0" fillId="0" borderId="0" xfId="0" applyNumberFormat="1"/>
    <xf numFmtId="0" fontId="3" fillId="0" borderId="0" xfId="0" applyFont="1"/>
    <xf numFmtId="0" fontId="0" fillId="0" borderId="4" xfId="0" applyBorder="1"/>
    <xf numFmtId="0" fontId="0" fillId="0" borderId="0" xfId="0" applyAlignment="1">
      <alignment horizontal="right"/>
    </xf>
    <xf numFmtId="0" fontId="7" fillId="0" borderId="0" xfId="0" applyFont="1"/>
    <xf numFmtId="43" fontId="0" fillId="0" borderId="4" xfId="0" applyNumberFormat="1" applyFill="1" applyBorder="1"/>
    <xf numFmtId="43" fontId="0" fillId="0" borderId="4" xfId="1" applyFont="1" applyFill="1" applyBorder="1"/>
    <xf numFmtId="49" fontId="0" fillId="0" borderId="0" xfId="0" applyNumberFormat="1" applyAlignment="1">
      <alignment wrapText="1"/>
    </xf>
    <xf numFmtId="0" fontId="0" fillId="0" borderId="0" xfId="0" applyAlignment="1">
      <alignment vertical="center"/>
    </xf>
    <xf numFmtId="0" fontId="9" fillId="0" borderId="0" xfId="0" applyFont="1" applyAlignment="1">
      <alignment vertical="center"/>
    </xf>
    <xf numFmtId="49" fontId="4" fillId="0" borderId="0" xfId="0" applyNumberFormat="1" applyFont="1" applyAlignment="1">
      <alignment wrapText="1"/>
    </xf>
    <xf numFmtId="8" fontId="0" fillId="0" borderId="4" xfId="0" applyNumberFormat="1" applyBorder="1"/>
    <xf numFmtId="49" fontId="0" fillId="0" borderId="0" xfId="0" applyNumberFormat="1" applyAlignment="1">
      <alignment horizontal="center" vertical="center" wrapText="1"/>
    </xf>
    <xf numFmtId="43" fontId="0" fillId="2" borderId="4" xfId="1" applyFont="1" applyFill="1" applyBorder="1" applyProtection="1">
      <protection locked="0"/>
    </xf>
    <xf numFmtId="0" fontId="0" fillId="2" borderId="4" xfId="0" applyFill="1" applyBorder="1" applyProtection="1">
      <protection locked="0"/>
    </xf>
    <xf numFmtId="14" fontId="0" fillId="2" borderId="4" xfId="0" applyNumberFormat="1" applyFill="1" applyBorder="1" applyProtection="1">
      <protection locked="0"/>
    </xf>
    <xf numFmtId="0" fontId="0" fillId="2" borderId="4" xfId="0" applyFill="1" applyBorder="1" applyAlignment="1" applyProtection="1">
      <alignment horizontal="center"/>
      <protection locked="0"/>
    </xf>
    <xf numFmtId="8" fontId="0" fillId="2" borderId="4" xfId="0" applyNumberFormat="1" applyFill="1" applyBorder="1" applyProtection="1">
      <protection locked="0"/>
    </xf>
    <xf numFmtId="0" fontId="10" fillId="0" borderId="0" xfId="0" applyFont="1"/>
    <xf numFmtId="43" fontId="0" fillId="0" borderId="4" xfId="1" applyFont="1" applyFill="1" applyBorder="1" applyProtection="1">
      <protection locked="0"/>
    </xf>
    <xf numFmtId="0" fontId="0" fillId="0" borderId="0" xfId="0" applyProtection="1">
      <protection locked="0"/>
    </xf>
    <xf numFmtId="0" fontId="12" fillId="0" borderId="0" xfId="5"/>
    <xf numFmtId="49" fontId="15" fillId="0" borderId="0" xfId="0" applyNumberFormat="1" applyFont="1" applyAlignment="1">
      <alignment horizontal="right" wrapText="1"/>
    </xf>
    <xf numFmtId="0" fontId="8" fillId="0" borderId="0" xfId="0" applyFont="1"/>
    <xf numFmtId="164" fontId="0" fillId="2" borderId="4" xfId="2" applyNumberFormat="1" applyFont="1" applyFill="1" applyBorder="1"/>
    <xf numFmtId="0" fontId="0" fillId="0" borderId="0" xfId="0" applyAlignment="1">
      <alignment wrapText="1"/>
    </xf>
    <xf numFmtId="0" fontId="5"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16" fillId="0" borderId="0" xfId="0" applyFont="1" applyAlignment="1">
      <alignment wrapText="1"/>
    </xf>
    <xf numFmtId="0" fontId="6" fillId="0" borderId="0" xfId="0" applyFont="1" applyAlignment="1">
      <alignment wrapText="1"/>
    </xf>
    <xf numFmtId="0" fontId="11" fillId="0" borderId="0" xfId="0" applyFont="1" applyAlignment="1">
      <alignment wrapText="1"/>
    </xf>
    <xf numFmtId="0" fontId="0" fillId="0" borderId="0" xfId="0" applyAlignment="1">
      <alignment horizontal="left" wrapText="1" indent="2"/>
    </xf>
    <xf numFmtId="0" fontId="6" fillId="0" borderId="0" xfId="0" applyFont="1" applyAlignment="1">
      <alignment horizontal="left" wrapText="1" indent="2"/>
    </xf>
    <xf numFmtId="0" fontId="11" fillId="0" borderId="0" xfId="0" applyFont="1" applyAlignment="1">
      <alignment horizontal="left" wrapText="1" indent="2"/>
    </xf>
    <xf numFmtId="0" fontId="5" fillId="0" borderId="0" xfId="0" applyFont="1" applyAlignment="1">
      <alignment horizontal="left" wrapText="1" indent="2"/>
    </xf>
    <xf numFmtId="49" fontId="0" fillId="0" borderId="4" xfId="0" applyNumberFormat="1" applyBorder="1" applyAlignment="1">
      <alignment horizontal="center" vertical="center" wrapText="1"/>
    </xf>
    <xf numFmtId="49" fontId="0" fillId="0" borderId="0" xfId="0" applyNumberFormat="1" applyAlignment="1">
      <alignment horizontal="center" vertical="center" wrapText="1"/>
    </xf>
    <xf numFmtId="0" fontId="0" fillId="0" borderId="4" xfId="0" applyBorder="1" applyProtection="1">
      <protection locked="0"/>
    </xf>
    <xf numFmtId="49" fontId="0" fillId="0" borderId="0" xfId="0" applyNumberFormat="1" applyAlignment="1"/>
    <xf numFmtId="49" fontId="18" fillId="0" borderId="4" xfId="0" applyNumberFormat="1" applyFont="1" applyBorder="1" applyAlignment="1">
      <alignment horizontal="center" vertical="center" wrapText="1"/>
    </xf>
    <xf numFmtId="49" fontId="16" fillId="6" borderId="4" xfId="0" applyNumberFormat="1" applyFont="1" applyFill="1" applyBorder="1" applyAlignment="1">
      <alignment horizontal="center" vertical="center" wrapText="1"/>
    </xf>
    <xf numFmtId="49" fontId="0" fillId="6" borderId="4" xfId="0" applyNumberFormat="1" applyFill="1" applyBorder="1" applyAlignment="1">
      <alignment horizontal="center" vertical="center" wrapText="1"/>
    </xf>
    <xf numFmtId="44" fontId="0" fillId="0" borderId="3" xfId="0" applyNumberFormat="1" applyBorder="1" applyAlignment="1"/>
    <xf numFmtId="43" fontId="0" fillId="7" borderId="1" xfId="1" applyFont="1" applyFill="1" applyBorder="1" applyProtection="1">
      <protection locked="0"/>
    </xf>
    <xf numFmtId="43" fontId="0" fillId="7" borderId="4" xfId="1" applyFont="1" applyFill="1" applyBorder="1" applyProtection="1">
      <protection locked="0"/>
    </xf>
    <xf numFmtId="0" fontId="0" fillId="7" borderId="4" xfId="0" applyFill="1" applyBorder="1" applyProtection="1">
      <protection locked="0"/>
    </xf>
    <xf numFmtId="0" fontId="0" fillId="7" borderId="4" xfId="0" applyFill="1" applyBorder="1" applyAlignment="1" applyProtection="1">
      <alignment horizontal="right"/>
      <protection locked="0"/>
    </xf>
    <xf numFmtId="165" fontId="0" fillId="0" borderId="4" xfId="0" applyNumberFormat="1" applyFill="1" applyBorder="1"/>
    <xf numFmtId="14" fontId="0" fillId="0" borderId="4" xfId="0" applyNumberFormat="1" applyFill="1" applyBorder="1" applyProtection="1">
      <protection locked="0"/>
    </xf>
    <xf numFmtId="0" fontId="6" fillId="0" borderId="4" xfId="0" applyFont="1" applyBorder="1" applyAlignment="1">
      <alignment horizontal="center" vertical="center" wrapText="1"/>
    </xf>
    <xf numFmtId="43" fontId="6" fillId="0" borderId="4" xfId="1" applyFont="1" applyFill="1" applyBorder="1"/>
    <xf numFmtId="0" fontId="0" fillId="0" borderId="0" xfId="0" applyAlignment="1"/>
    <xf numFmtId="0" fontId="0" fillId="6" borderId="4" xfId="0" applyFill="1" applyBorder="1" applyAlignment="1">
      <alignment horizontal="center"/>
    </xf>
    <xf numFmtId="0" fontId="20" fillId="0" borderId="0" xfId="0" applyFont="1" applyAlignment="1">
      <alignment horizontal="center"/>
    </xf>
    <xf numFmtId="0" fontId="6" fillId="0" borderId="0" xfId="0" applyFont="1"/>
    <xf numFmtId="0" fontId="10" fillId="0" borderId="0" xfId="0" applyFont="1" applyProtection="1">
      <protection locked="0"/>
    </xf>
    <xf numFmtId="0" fontId="5" fillId="0" borderId="0" xfId="0" applyFont="1" applyProtection="1">
      <protection locked="0"/>
    </xf>
    <xf numFmtId="0" fontId="0" fillId="0" borderId="0" xfId="0" applyAlignment="1" applyProtection="1">
      <alignment wrapText="1"/>
      <protection locked="0"/>
    </xf>
    <xf numFmtId="0" fontId="5" fillId="0" borderId="0" xfId="0" applyFont="1" applyAlignment="1" applyProtection="1">
      <alignment wrapText="1"/>
      <protection locked="0"/>
    </xf>
    <xf numFmtId="0" fontId="3" fillId="0" borderId="0" xfId="0" applyFont="1" applyAlignment="1" applyProtection="1">
      <alignment wrapText="1"/>
      <protection locked="0"/>
    </xf>
    <xf numFmtId="0" fontId="0" fillId="0" borderId="0" xfId="0" applyAlignment="1" applyProtection="1">
      <alignment horizontal="left" wrapText="1" indent="2"/>
      <protection locked="0"/>
    </xf>
    <xf numFmtId="0" fontId="6" fillId="0" borderId="0" xfId="0" applyFont="1" applyAlignment="1" applyProtection="1">
      <alignment horizontal="left" wrapText="1" indent="2"/>
      <protection locked="0"/>
    </xf>
    <xf numFmtId="0" fontId="11" fillId="0" borderId="0" xfId="0" applyFont="1" applyAlignment="1" applyProtection="1">
      <alignment horizontal="left" wrapText="1" indent="2"/>
      <protection locked="0"/>
    </xf>
    <xf numFmtId="0" fontId="16" fillId="0" borderId="0" xfId="0" applyFont="1" applyAlignment="1" applyProtection="1">
      <alignment wrapText="1"/>
      <protection locked="0"/>
    </xf>
    <xf numFmtId="0" fontId="4" fillId="0" borderId="0" xfId="0" applyFont="1" applyProtection="1">
      <protection locked="0"/>
    </xf>
    <xf numFmtId="0" fontId="12" fillId="0" borderId="0" xfId="5" applyProtection="1">
      <protection locked="0"/>
    </xf>
    <xf numFmtId="0" fontId="3" fillId="0" borderId="0" xfId="0" applyFont="1" applyProtection="1">
      <protection locked="0"/>
    </xf>
    <xf numFmtId="0" fontId="7" fillId="0" borderId="0" xfId="0" applyFont="1" applyProtection="1">
      <protection locked="0"/>
    </xf>
    <xf numFmtId="0" fontId="0" fillId="0" borderId="0" xfId="0" applyAlignment="1" applyProtection="1">
      <alignment horizontal="center" wrapText="1"/>
      <protection locked="0"/>
    </xf>
    <xf numFmtId="0" fontId="17" fillId="8" borderId="0" xfId="0" applyFont="1" applyFill="1" applyAlignment="1" applyProtection="1">
      <alignment wrapText="1"/>
      <protection locked="0"/>
    </xf>
    <xf numFmtId="0" fontId="0" fillId="0" borderId="0" xfId="0" applyFont="1" applyProtection="1">
      <protection locked="0"/>
    </xf>
    <xf numFmtId="0" fontId="6" fillId="0" borderId="0" xfId="0" applyFont="1" applyProtection="1">
      <protection locked="0"/>
    </xf>
    <xf numFmtId="49" fontId="12" fillId="2" borderId="4" xfId="5" applyNumberFormat="1" applyFill="1" applyBorder="1" applyProtection="1">
      <protection locked="0"/>
    </xf>
    <xf numFmtId="49" fontId="0" fillId="2" borderId="4" xfId="0" quotePrefix="1" applyNumberFormat="1" applyFill="1" applyBorder="1" applyProtection="1">
      <protection locked="0"/>
    </xf>
    <xf numFmtId="49" fontId="0" fillId="0" borderId="4" xfId="0" applyNumberFormat="1" applyBorder="1" applyAlignment="1" applyProtection="1">
      <alignment horizontal="center" vertical="center" wrapText="1"/>
      <protection locked="0"/>
    </xf>
    <xf numFmtId="49" fontId="0" fillId="0" borderId="0" xfId="0" applyNumberFormat="1" applyAlignment="1" applyProtection="1">
      <alignment horizontal="center" vertical="center" wrapText="1"/>
      <protection locked="0"/>
    </xf>
    <xf numFmtId="49" fontId="0" fillId="0" borderId="1" xfId="0" applyNumberFormat="1" applyBorder="1" applyAlignment="1" applyProtection="1">
      <alignment horizontal="left" vertical="center"/>
      <protection locked="0"/>
    </xf>
    <xf numFmtId="49" fontId="0" fillId="0" borderId="2" xfId="0" applyNumberFormat="1" applyBorder="1" applyAlignment="1" applyProtection="1">
      <alignment horizontal="left" vertical="center"/>
      <protection locked="0"/>
    </xf>
    <xf numFmtId="49" fontId="0" fillId="0" borderId="3" xfId="0" applyNumberFormat="1" applyBorder="1" applyAlignment="1" applyProtection="1">
      <alignment horizontal="left"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0" borderId="1"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5" fillId="0" borderId="3" xfId="0" applyFont="1" applyBorder="1" applyAlignment="1" applyProtection="1">
      <alignment horizontal="center"/>
      <protection locked="0"/>
    </xf>
    <xf numFmtId="0" fontId="3" fillId="0" borderId="1" xfId="0"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0" fillId="0" borderId="4" xfId="0" applyBorder="1" applyAlignment="1" applyProtection="1">
      <alignment horizontal="left"/>
      <protection locked="0"/>
    </xf>
    <xf numFmtId="49" fontId="0" fillId="0" borderId="5" xfId="0" applyNumberFormat="1" applyBorder="1" applyAlignment="1" applyProtection="1">
      <alignment horizontal="left" vertical="center" wrapText="1"/>
      <protection locked="0"/>
    </xf>
    <xf numFmtId="49" fontId="0" fillId="0" borderId="6" xfId="0" applyNumberFormat="1" applyBorder="1" applyAlignment="1" applyProtection="1">
      <alignment horizontal="left" vertical="center" wrapText="1"/>
      <protection locked="0"/>
    </xf>
    <xf numFmtId="49" fontId="0" fillId="0" borderId="7" xfId="0" applyNumberFormat="1" applyBorder="1" applyAlignment="1" applyProtection="1">
      <alignment horizontal="left" vertical="center" wrapText="1"/>
      <protection locked="0"/>
    </xf>
    <xf numFmtId="49" fontId="0" fillId="0" borderId="8" xfId="0" applyNumberFormat="1" applyBorder="1" applyAlignment="1" applyProtection="1">
      <alignment horizontal="left" vertical="center" wrapText="1"/>
      <protection locked="0"/>
    </xf>
    <xf numFmtId="49" fontId="0" fillId="0" borderId="9" xfId="0" applyNumberFormat="1" applyBorder="1" applyAlignment="1" applyProtection="1">
      <alignment horizontal="left" vertical="center" wrapText="1"/>
      <protection locked="0"/>
    </xf>
    <xf numFmtId="49" fontId="0" fillId="0" borderId="10" xfId="0" applyNumberFormat="1" applyBorder="1" applyAlignment="1" applyProtection="1">
      <alignment horizontal="left" vertical="center" wrapText="1"/>
      <protection locked="0"/>
    </xf>
    <xf numFmtId="49" fontId="21" fillId="0" borderId="5" xfId="0" applyNumberFormat="1" applyFont="1" applyBorder="1" applyAlignment="1" applyProtection="1">
      <alignment horizontal="left" vertical="center" wrapText="1"/>
      <protection locked="0"/>
    </xf>
    <xf numFmtId="49" fontId="21" fillId="0" borderId="6" xfId="0" applyNumberFormat="1" applyFont="1" applyBorder="1" applyAlignment="1" applyProtection="1">
      <alignment horizontal="left" vertical="center" wrapText="1"/>
      <protection locked="0"/>
    </xf>
    <xf numFmtId="49" fontId="21" fillId="0" borderId="7" xfId="0" applyNumberFormat="1" applyFont="1" applyBorder="1" applyAlignment="1" applyProtection="1">
      <alignment horizontal="left" vertical="center" wrapText="1"/>
      <protection locked="0"/>
    </xf>
    <xf numFmtId="49" fontId="21" fillId="0" borderId="8" xfId="0" applyNumberFormat="1" applyFont="1" applyBorder="1" applyAlignment="1" applyProtection="1">
      <alignment horizontal="left" vertical="center" wrapText="1"/>
      <protection locked="0"/>
    </xf>
    <xf numFmtId="49" fontId="21" fillId="0" borderId="9" xfId="0" applyNumberFormat="1" applyFont="1" applyBorder="1" applyAlignment="1" applyProtection="1">
      <alignment horizontal="left" vertical="center" wrapText="1"/>
      <protection locked="0"/>
    </xf>
    <xf numFmtId="49" fontId="21" fillId="0" borderId="10" xfId="0" applyNumberFormat="1" applyFont="1" applyBorder="1" applyAlignment="1" applyProtection="1">
      <alignment horizontal="left" vertical="center" wrapText="1"/>
      <protection locked="0"/>
    </xf>
    <xf numFmtId="0" fontId="0" fillId="0" borderId="4" xfId="0" applyBorder="1" applyAlignment="1" applyProtection="1">
      <alignment horizontal="left" wrapText="1"/>
      <protection locked="0"/>
    </xf>
    <xf numFmtId="0" fontId="3" fillId="0" borderId="4" xfId="0" applyFont="1" applyBorder="1" applyAlignment="1" applyProtection="1">
      <alignment horizontal="left"/>
      <protection locked="0"/>
    </xf>
    <xf numFmtId="49" fontId="0" fillId="0" borderId="4" xfId="0" applyNumberFormat="1" applyBorder="1" applyAlignment="1">
      <alignment horizontal="center" vertical="center" wrapText="1"/>
    </xf>
  </cellXfs>
  <cellStyles count="6">
    <cellStyle name="Comma" xfId="1" builtinId="3"/>
    <cellStyle name="Comma 2" xfId="3"/>
    <cellStyle name="Currency" xfId="2" builtinId="4"/>
    <cellStyle name="Currency 2" xfId="4"/>
    <cellStyle name="Hyperlink"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19050</xdr:rowOff>
    </xdr:from>
    <xdr:to>
      <xdr:col>0</xdr:col>
      <xdr:colOff>6373109</xdr:colOff>
      <xdr:row>2</xdr:row>
      <xdr:rowOff>51</xdr:rowOff>
    </xdr:to>
    <xdr:pic>
      <xdr:nvPicPr>
        <xdr:cNvPr id="2" name="Picture 1"/>
        <xdr:cNvPicPr>
          <a:picLocks noChangeAspect="1"/>
        </xdr:cNvPicPr>
      </xdr:nvPicPr>
      <xdr:blipFill>
        <a:blip xmlns:r="http://schemas.openxmlformats.org/officeDocument/2006/relationships" r:embed="rId1"/>
        <a:stretch>
          <a:fillRect/>
        </a:stretch>
      </xdr:blipFill>
      <xdr:spPr>
        <a:xfrm>
          <a:off x="38100" y="19050"/>
          <a:ext cx="6335009" cy="36200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1771650</xdr:colOff>
          <xdr:row>4</xdr:row>
          <xdr:rowOff>85725</xdr:rowOff>
        </xdr:from>
        <xdr:to>
          <xdr:col>0</xdr:col>
          <xdr:colOff>4133850</xdr:colOff>
          <xdr:row>6</xdr:row>
          <xdr:rowOff>161925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passer au français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2238375</xdr:colOff>
          <xdr:row>5</xdr:row>
          <xdr:rowOff>66675</xdr:rowOff>
        </xdr:from>
        <xdr:to>
          <xdr:col>2</xdr:col>
          <xdr:colOff>28575</xdr:colOff>
          <xdr:row>7</xdr:row>
          <xdr:rowOff>142875</xdr:rowOff>
        </xdr:to>
        <xdr:sp macro="" textlink="">
          <xdr:nvSpPr>
            <xdr:cNvPr id="13325" name="Button 13" hidden="1">
              <a:extLst>
                <a:ext uri="{63B3BB69-23CF-44E3-9099-C40C66FF867C}">
                  <a14:compatExt spid="_x0000_s13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Login to HQ Customer Portal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66675</xdr:colOff>
          <xdr:row>0</xdr:row>
          <xdr:rowOff>85725</xdr:rowOff>
        </xdr:from>
        <xdr:to>
          <xdr:col>9</xdr:col>
          <xdr:colOff>0</xdr:colOff>
          <xdr:row>1</xdr:row>
          <xdr:rowOff>171450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600075</xdr:colOff>
          <xdr:row>31</xdr:row>
          <xdr:rowOff>152400</xdr:rowOff>
        </xdr:from>
        <xdr:to>
          <xdr:col>13</xdr:col>
          <xdr:colOff>342900</xdr:colOff>
          <xdr:row>33</xdr:row>
          <xdr:rowOff>38100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Load row into Simulator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xdr:row>
          <xdr:rowOff>95250</xdr:rowOff>
        </xdr:from>
        <xdr:to>
          <xdr:col>1</xdr:col>
          <xdr:colOff>390525</xdr:colOff>
          <xdr:row>2</xdr:row>
          <xdr:rowOff>133350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145"/>
  <sheetViews>
    <sheetView zoomScaleNormal="100" workbookViewId="0">
      <selection activeCell="C4" sqref="C4"/>
    </sheetView>
  </sheetViews>
  <sheetFormatPr defaultRowHeight="15" x14ac:dyDescent="0.25"/>
  <cols>
    <col min="1" max="1" width="97" style="38" customWidth="1"/>
    <col min="2" max="2" width="8.140625" style="38" customWidth="1"/>
    <col min="3" max="3" width="9.140625" style="38" customWidth="1"/>
  </cols>
  <sheetData>
    <row r="1" spans="1:2" x14ac:dyDescent="0.25">
      <c r="A1" s="82" t="s">
        <v>353</v>
      </c>
      <c r="B1" s="71"/>
    </row>
    <row r="3" spans="1:2" ht="43.5" customHeight="1" x14ac:dyDescent="0.25">
      <c r="A3" s="63" t="s">
        <v>304</v>
      </c>
    </row>
    <row r="4" spans="1:2" ht="54" customHeight="1" x14ac:dyDescent="0.25">
      <c r="A4" s="63" t="s">
        <v>305</v>
      </c>
    </row>
    <row r="8" spans="1:2" ht="18.75" x14ac:dyDescent="0.3">
      <c r="A8" s="69" t="s">
        <v>89</v>
      </c>
    </row>
    <row r="9" spans="1:2" x14ac:dyDescent="0.25">
      <c r="A9" s="70"/>
    </row>
    <row r="10" spans="1:2" x14ac:dyDescent="0.25">
      <c r="A10" s="71" t="s">
        <v>90</v>
      </c>
    </row>
    <row r="11" spans="1:2" x14ac:dyDescent="0.25">
      <c r="A11" s="71" t="s">
        <v>91</v>
      </c>
    </row>
    <row r="12" spans="1:2" x14ac:dyDescent="0.25">
      <c r="A12" s="71" t="s">
        <v>92</v>
      </c>
    </row>
    <row r="13" spans="1:2" x14ac:dyDescent="0.25">
      <c r="A13" s="71"/>
    </row>
    <row r="14" spans="1:2" x14ac:dyDescent="0.25">
      <c r="A14" s="71" t="s">
        <v>311</v>
      </c>
    </row>
    <row r="15" spans="1:2" x14ac:dyDescent="0.25">
      <c r="A15" s="71" t="s">
        <v>312</v>
      </c>
    </row>
    <row r="16" spans="1:2" x14ac:dyDescent="0.25">
      <c r="A16" s="72"/>
    </row>
    <row r="17" spans="1:1" x14ac:dyDescent="0.25">
      <c r="A17" s="71"/>
    </row>
    <row r="18" spans="1:1" x14ac:dyDescent="0.25">
      <c r="A18" s="73" t="s">
        <v>95</v>
      </c>
    </row>
    <row r="19" spans="1:1" ht="30" x14ac:dyDescent="0.25">
      <c r="A19" s="71" t="s">
        <v>96</v>
      </c>
    </row>
    <row r="20" spans="1:1" x14ac:dyDescent="0.25">
      <c r="A20" s="72" t="s">
        <v>103</v>
      </c>
    </row>
    <row r="21" spans="1:1" x14ac:dyDescent="0.25">
      <c r="A21" s="71"/>
    </row>
    <row r="22" spans="1:1" x14ac:dyDescent="0.25">
      <c r="A22" s="73" t="s">
        <v>104</v>
      </c>
    </row>
    <row r="23" spans="1:1" x14ac:dyDescent="0.25">
      <c r="A23" s="72" t="s">
        <v>97</v>
      </c>
    </row>
    <row r="24" spans="1:1" ht="30" x14ac:dyDescent="0.25">
      <c r="A24" s="74" t="s">
        <v>98</v>
      </c>
    </row>
    <row r="25" spans="1:1" ht="30" x14ac:dyDescent="0.25">
      <c r="A25" s="74" t="s">
        <v>218</v>
      </c>
    </row>
    <row r="26" spans="1:1" x14ac:dyDescent="0.25">
      <c r="A26" s="72" t="s">
        <v>99</v>
      </c>
    </row>
    <row r="27" spans="1:1" x14ac:dyDescent="0.25">
      <c r="A27" s="74" t="s">
        <v>105</v>
      </c>
    </row>
    <row r="28" spans="1:1" ht="30" x14ac:dyDescent="0.25">
      <c r="A28" s="74" t="s">
        <v>108</v>
      </c>
    </row>
    <row r="29" spans="1:1" x14ac:dyDescent="0.25">
      <c r="A29" s="74" t="s">
        <v>106</v>
      </c>
    </row>
    <row r="30" spans="1:1" ht="31.5" x14ac:dyDescent="0.25">
      <c r="A30" s="83" t="s">
        <v>239</v>
      </c>
    </row>
    <row r="31" spans="1:1" x14ac:dyDescent="0.25">
      <c r="A31" s="72" t="s">
        <v>100</v>
      </c>
    </row>
    <row r="32" spans="1:1" x14ac:dyDescent="0.25">
      <c r="A32" s="74" t="s">
        <v>101</v>
      </c>
    </row>
    <row r="33" spans="1:1" ht="30" x14ac:dyDescent="0.25">
      <c r="A33" s="74" t="s">
        <v>107</v>
      </c>
    </row>
    <row r="34" spans="1:1" x14ac:dyDescent="0.25">
      <c r="A34" s="75" t="s">
        <v>109</v>
      </c>
    </row>
    <row r="35" spans="1:1" x14ac:dyDescent="0.25">
      <c r="A35" s="76"/>
    </row>
    <row r="36" spans="1:1" ht="30" x14ac:dyDescent="0.25">
      <c r="A36" s="74" t="s">
        <v>221</v>
      </c>
    </row>
    <row r="37" spans="1:1" x14ac:dyDescent="0.25">
      <c r="A37" s="71"/>
    </row>
    <row r="38" spans="1:1" x14ac:dyDescent="0.25">
      <c r="A38" s="77" t="s">
        <v>217</v>
      </c>
    </row>
    <row r="39" spans="1:1" x14ac:dyDescent="0.25">
      <c r="A39" s="71" t="s">
        <v>153</v>
      </c>
    </row>
    <row r="40" spans="1:1" x14ac:dyDescent="0.25">
      <c r="A40" s="71" t="s">
        <v>154</v>
      </c>
    </row>
    <row r="41" spans="1:1" x14ac:dyDescent="0.25">
      <c r="A41" s="71" t="s">
        <v>155</v>
      </c>
    </row>
    <row r="42" spans="1:1" x14ac:dyDescent="0.25">
      <c r="A42" s="71"/>
    </row>
    <row r="43" spans="1:1" x14ac:dyDescent="0.25">
      <c r="A43" s="77" t="s">
        <v>156</v>
      </c>
    </row>
    <row r="44" spans="1:1" ht="30" x14ac:dyDescent="0.25">
      <c r="A44" s="72" t="s">
        <v>306</v>
      </c>
    </row>
    <row r="45" spans="1:1" x14ac:dyDescent="0.25">
      <c r="A45" s="71"/>
    </row>
    <row r="46" spans="1:1" x14ac:dyDescent="0.25">
      <c r="A46" s="71"/>
    </row>
    <row r="47" spans="1:1" x14ac:dyDescent="0.25">
      <c r="A47" s="71"/>
    </row>
    <row r="48" spans="1:1" x14ac:dyDescent="0.25">
      <c r="A48" s="71"/>
    </row>
    <row r="76" spans="1:1" ht="18.75" x14ac:dyDescent="0.3">
      <c r="A76" s="31" t="s">
        <v>89</v>
      </c>
    </row>
    <row r="77" spans="1:1" x14ac:dyDescent="0.25">
      <c r="A77" s="2"/>
    </row>
    <row r="78" spans="1:1" x14ac:dyDescent="0.25">
      <c r="A78" s="38" t="s">
        <v>90</v>
      </c>
    </row>
    <row r="79" spans="1:1" x14ac:dyDescent="0.25">
      <c r="A79" s="38" t="s">
        <v>91</v>
      </c>
    </row>
    <row r="80" spans="1:1" x14ac:dyDescent="0.25">
      <c r="A80" s="38" t="s">
        <v>92</v>
      </c>
    </row>
    <row r="82" spans="1:1" x14ac:dyDescent="0.25">
      <c r="A82" s="38" t="s">
        <v>93</v>
      </c>
    </row>
    <row r="83" spans="1:1" x14ac:dyDescent="0.25">
      <c r="A83" s="38" t="s">
        <v>94</v>
      </c>
    </row>
    <row r="84" spans="1:1" x14ac:dyDescent="0.25">
      <c r="A84" s="39" t="s">
        <v>102</v>
      </c>
    </row>
    <row r="86" spans="1:1" x14ac:dyDescent="0.25">
      <c r="A86" s="40" t="s">
        <v>95</v>
      </c>
    </row>
    <row r="87" spans="1:1" ht="30" x14ac:dyDescent="0.25">
      <c r="A87" s="38" t="s">
        <v>96</v>
      </c>
    </row>
    <row r="88" spans="1:1" x14ac:dyDescent="0.25">
      <c r="A88" s="39" t="s">
        <v>103</v>
      </c>
    </row>
    <row r="90" spans="1:1" x14ac:dyDescent="0.25">
      <c r="A90" s="40" t="s">
        <v>104</v>
      </c>
    </row>
    <row r="91" spans="1:1" x14ac:dyDescent="0.25">
      <c r="A91" s="39" t="s">
        <v>97</v>
      </c>
    </row>
    <row r="92" spans="1:1" ht="30" x14ac:dyDescent="0.25">
      <c r="A92" s="45" t="s">
        <v>98</v>
      </c>
    </row>
    <row r="93" spans="1:1" ht="30" x14ac:dyDescent="0.25">
      <c r="A93" s="45" t="s">
        <v>218</v>
      </c>
    </row>
    <row r="94" spans="1:1" x14ac:dyDescent="0.25">
      <c r="A94" s="39" t="s">
        <v>99</v>
      </c>
    </row>
    <row r="95" spans="1:1" x14ac:dyDescent="0.25">
      <c r="A95" s="45" t="s">
        <v>105</v>
      </c>
    </row>
    <row r="96" spans="1:1" ht="30" x14ac:dyDescent="0.25">
      <c r="A96" s="45" t="s">
        <v>108</v>
      </c>
    </row>
    <row r="97" spans="1:2" x14ac:dyDescent="0.25">
      <c r="A97" s="45" t="s">
        <v>106</v>
      </c>
    </row>
    <row r="98" spans="1:2" ht="31.5" x14ac:dyDescent="0.25">
      <c r="A98" s="41" t="s">
        <v>239</v>
      </c>
    </row>
    <row r="99" spans="1:2" x14ac:dyDescent="0.25">
      <c r="A99" s="39" t="s">
        <v>100</v>
      </c>
    </row>
    <row r="100" spans="1:2" x14ac:dyDescent="0.25">
      <c r="A100" s="45" t="s">
        <v>101</v>
      </c>
    </row>
    <row r="101" spans="1:2" ht="30" x14ac:dyDescent="0.25">
      <c r="A101" s="45" t="s">
        <v>107</v>
      </c>
    </row>
    <row r="102" spans="1:2" x14ac:dyDescent="0.25">
      <c r="A102" s="46" t="s">
        <v>109</v>
      </c>
      <c r="B102" s="43"/>
    </row>
    <row r="103" spans="1:2" ht="30" x14ac:dyDescent="0.25">
      <c r="A103" s="47" t="s">
        <v>110</v>
      </c>
      <c r="B103" s="44"/>
    </row>
    <row r="104" spans="1:2" ht="30" x14ac:dyDescent="0.25">
      <c r="A104" s="45" t="s">
        <v>221</v>
      </c>
    </row>
    <row r="106" spans="1:2" x14ac:dyDescent="0.25">
      <c r="A106" s="42" t="s">
        <v>217</v>
      </c>
    </row>
    <row r="107" spans="1:2" x14ac:dyDescent="0.25">
      <c r="A107" s="38" t="s">
        <v>153</v>
      </c>
    </row>
    <row r="108" spans="1:2" x14ac:dyDescent="0.25">
      <c r="A108" s="38" t="s">
        <v>154</v>
      </c>
    </row>
    <row r="109" spans="1:2" x14ac:dyDescent="0.25">
      <c r="A109" s="38" t="s">
        <v>155</v>
      </c>
    </row>
    <row r="111" spans="1:2" x14ac:dyDescent="0.25">
      <c r="A111" s="42" t="s">
        <v>156</v>
      </c>
    </row>
    <row r="112" spans="1:2" ht="30" x14ac:dyDescent="0.25">
      <c r="A112" s="39" t="s">
        <v>157</v>
      </c>
    </row>
    <row r="116" spans="1:1" ht="18.75" x14ac:dyDescent="0.3">
      <c r="A116" s="36"/>
    </row>
    <row r="117" spans="1:1" ht="18.75" x14ac:dyDescent="0.3">
      <c r="A117" s="31" t="s">
        <v>254</v>
      </c>
    </row>
    <row r="119" spans="1:1" x14ac:dyDescent="0.25">
      <c r="A119" s="40" t="s">
        <v>167</v>
      </c>
    </row>
    <row r="120" spans="1:1" ht="30" x14ac:dyDescent="0.25">
      <c r="A120" s="45" t="s">
        <v>168</v>
      </c>
    </row>
    <row r="121" spans="1:1" ht="30" x14ac:dyDescent="0.25">
      <c r="A121" s="48" t="s">
        <v>169</v>
      </c>
    </row>
    <row r="122" spans="1:1" x14ac:dyDescent="0.25">
      <c r="A122" s="38" t="s">
        <v>170</v>
      </c>
    </row>
    <row r="123" spans="1:1" x14ac:dyDescent="0.25">
      <c r="A123" s="40" t="s">
        <v>171</v>
      </c>
    </row>
    <row r="124" spans="1:1" x14ac:dyDescent="0.25">
      <c r="A124" s="39" t="s">
        <v>172</v>
      </c>
    </row>
    <row r="125" spans="1:1" ht="30" x14ac:dyDescent="0.25">
      <c r="A125" s="45" t="s">
        <v>173</v>
      </c>
    </row>
    <row r="126" spans="1:1" ht="30" x14ac:dyDescent="0.25">
      <c r="A126" s="45" t="s">
        <v>219</v>
      </c>
    </row>
    <row r="127" spans="1:1" x14ac:dyDescent="0.25">
      <c r="A127" s="39" t="s">
        <v>174</v>
      </c>
    </row>
    <row r="128" spans="1:1" x14ac:dyDescent="0.25">
      <c r="A128" s="45" t="s">
        <v>175</v>
      </c>
    </row>
    <row r="129" spans="1:3" ht="30" x14ac:dyDescent="0.25">
      <c r="A129" s="45" t="s">
        <v>176</v>
      </c>
    </row>
    <row r="130" spans="1:3" ht="30" x14ac:dyDescent="0.25">
      <c r="A130" s="45" t="s">
        <v>177</v>
      </c>
    </row>
    <row r="131" spans="1:3" ht="47.25" x14ac:dyDescent="0.25">
      <c r="A131" s="41" t="s">
        <v>241</v>
      </c>
    </row>
    <row r="132" spans="1:3" x14ac:dyDescent="0.25">
      <c r="A132" s="39" t="s">
        <v>178</v>
      </c>
    </row>
    <row r="133" spans="1:3" x14ac:dyDescent="0.25">
      <c r="A133" s="45" t="s">
        <v>179</v>
      </c>
    </row>
    <row r="134" spans="1:3" ht="30" x14ac:dyDescent="0.25">
      <c r="A134" s="45" t="s">
        <v>180</v>
      </c>
    </row>
    <row r="135" spans="1:3" x14ac:dyDescent="0.25">
      <c r="A135" s="46" t="s">
        <v>181</v>
      </c>
      <c r="C135" s="43"/>
    </row>
    <row r="136" spans="1:3" ht="30" x14ac:dyDescent="0.25">
      <c r="A136" s="45" t="s">
        <v>182</v>
      </c>
    </row>
    <row r="137" spans="1:3" ht="30" x14ac:dyDescent="0.25">
      <c r="A137" s="45" t="s">
        <v>183</v>
      </c>
    </row>
    <row r="139" spans="1:3" x14ac:dyDescent="0.25">
      <c r="A139" s="42" t="s">
        <v>184</v>
      </c>
    </row>
    <row r="140" spans="1:3" x14ac:dyDescent="0.25">
      <c r="A140" s="45" t="s">
        <v>220</v>
      </c>
    </row>
    <row r="141" spans="1:3" x14ac:dyDescent="0.25">
      <c r="A141" s="45" t="s">
        <v>185</v>
      </c>
    </row>
    <row r="142" spans="1:3" x14ac:dyDescent="0.25">
      <c r="A142" s="45" t="s">
        <v>186</v>
      </c>
    </row>
    <row r="143" spans="1:3" x14ac:dyDescent="0.25">
      <c r="A143" s="38" t="s">
        <v>170</v>
      </c>
    </row>
    <row r="144" spans="1:3" x14ac:dyDescent="0.25">
      <c r="A144" s="42" t="s">
        <v>187</v>
      </c>
    </row>
    <row r="145" spans="1:1" ht="30" x14ac:dyDescent="0.25">
      <c r="A145" s="48" t="s">
        <v>188</v>
      </c>
    </row>
  </sheetData>
  <sheetProtection sheet="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witchLanguage">
                <anchor moveWithCells="1" sizeWithCells="1">
                  <from>
                    <xdr:col>0</xdr:col>
                    <xdr:colOff>1771650</xdr:colOff>
                    <xdr:row>4</xdr:row>
                    <xdr:rowOff>85725</xdr:rowOff>
                  </from>
                  <to>
                    <xdr:col>0</xdr:col>
                    <xdr:colOff>4133850</xdr:colOff>
                    <xdr:row>6</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33"/>
  <sheetViews>
    <sheetView tabSelected="1" workbookViewId="0">
      <selection activeCell="B2" sqref="B2"/>
    </sheetView>
  </sheetViews>
  <sheetFormatPr defaultRowHeight="15" x14ac:dyDescent="0.25"/>
  <cols>
    <col min="1" max="1" width="33.85546875" customWidth="1"/>
    <col min="2" max="2" width="23.42578125" customWidth="1"/>
  </cols>
  <sheetData>
    <row r="1" spans="1:2" ht="18.75" x14ac:dyDescent="0.3">
      <c r="A1" s="69" t="s">
        <v>240</v>
      </c>
    </row>
    <row r="2" spans="1:2" x14ac:dyDescent="0.25">
      <c r="A2" s="51" t="s">
        <v>222</v>
      </c>
      <c r="B2" s="86"/>
    </row>
    <row r="3" spans="1:2" x14ac:dyDescent="0.25">
      <c r="A3" s="51" t="s">
        <v>223</v>
      </c>
      <c r="B3" s="87"/>
    </row>
    <row r="4" spans="1:2" x14ac:dyDescent="0.25">
      <c r="A4" s="51" t="s">
        <v>224</v>
      </c>
      <c r="B4" s="28">
        <v>45985</v>
      </c>
    </row>
    <row r="5" spans="1:2" x14ac:dyDescent="0.25">
      <c r="A5" s="51" t="s">
        <v>299</v>
      </c>
      <c r="B5" s="27" t="s">
        <v>356</v>
      </c>
    </row>
    <row r="6" spans="1:2" x14ac:dyDescent="0.25">
      <c r="A6" s="33"/>
      <c r="B6" t="s">
        <v>298</v>
      </c>
    </row>
    <row r="7" spans="1:2" x14ac:dyDescent="0.25">
      <c r="A7" s="33"/>
    </row>
    <row r="8" spans="1:2" x14ac:dyDescent="0.25">
      <c r="A8" s="33"/>
    </row>
    <row r="9" spans="1:2" x14ac:dyDescent="0.25">
      <c r="A9" s="33"/>
    </row>
    <row r="10" spans="1:2" ht="18.75" x14ac:dyDescent="0.3">
      <c r="A10" s="69" t="s">
        <v>89</v>
      </c>
    </row>
    <row r="11" spans="1:2" x14ac:dyDescent="0.25">
      <c r="A11" s="33"/>
    </row>
    <row r="12" spans="1:2" x14ac:dyDescent="0.25">
      <c r="A12" s="33" t="s">
        <v>242</v>
      </c>
    </row>
    <row r="13" spans="1:2" x14ac:dyDescent="0.25">
      <c r="A13" s="85" t="s">
        <v>354</v>
      </c>
    </row>
    <row r="14" spans="1:2" x14ac:dyDescent="0.25">
      <c r="A14" s="33" t="s">
        <v>243</v>
      </c>
    </row>
    <row r="15" spans="1:2" x14ac:dyDescent="0.25">
      <c r="A15" s="33" t="s">
        <v>244</v>
      </c>
    </row>
    <row r="16" spans="1:2" x14ac:dyDescent="0.25">
      <c r="A16" s="33" t="s">
        <v>245</v>
      </c>
    </row>
    <row r="17" spans="1:1" x14ac:dyDescent="0.25">
      <c r="A17" s="33" t="s">
        <v>314</v>
      </c>
    </row>
    <row r="18" spans="1:1" x14ac:dyDescent="0.25">
      <c r="A18" s="33" t="s">
        <v>246</v>
      </c>
    </row>
    <row r="19" spans="1:1" x14ac:dyDescent="0.25">
      <c r="A19" s="70"/>
    </row>
    <row r="20" spans="1:1" x14ac:dyDescent="0.25">
      <c r="A20" s="70" t="s">
        <v>252</v>
      </c>
    </row>
    <row r="21" spans="1:1" x14ac:dyDescent="0.25">
      <c r="A21" s="70"/>
    </row>
    <row r="22" spans="1:1" x14ac:dyDescent="0.25">
      <c r="A22" s="33"/>
    </row>
    <row r="23" spans="1:1" ht="18.75" x14ac:dyDescent="0.3">
      <c r="A23" s="31"/>
    </row>
    <row r="32" spans="1:1" x14ac:dyDescent="0.25">
      <c r="A32" s="2"/>
    </row>
    <row r="33" spans="1:1" x14ac:dyDescent="0.25">
      <c r="A33" s="2"/>
    </row>
  </sheetData>
  <sheetProtection sheet="1" scenarios="1"/>
  <dataValidations count="1">
    <dataValidation type="list" showInputMessage="1" showErrorMessage="1" sqref="B5">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5" r:id="rId4" name="Button 13">
              <controlPr defaultSize="0" print="0" autoFill="0" autoPict="0" macro="[0]!FetchHydroData">
                <anchor moveWithCells="1">
                  <from>
                    <xdr:col>0</xdr:col>
                    <xdr:colOff>2238375</xdr:colOff>
                    <xdr:row>5</xdr:row>
                    <xdr:rowOff>66675</xdr:rowOff>
                  </from>
                  <to>
                    <xdr:col>2</xdr:col>
                    <xdr:colOff>28575</xdr:colOff>
                    <xdr:row>7</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147"/>
  <sheetViews>
    <sheetView workbookViewId="0">
      <selection activeCell="A2" sqref="A2"/>
    </sheetView>
  </sheetViews>
  <sheetFormatPr defaultRowHeight="15" x14ac:dyDescent="0.25"/>
  <cols>
    <col min="1" max="1" width="10.42578125" bestFit="1" customWidth="1"/>
  </cols>
  <sheetData>
    <row r="1" spans="1:25" x14ac:dyDescent="0.25">
      <c r="A1" s="27" t="s">
        <v>16</v>
      </c>
      <c r="B1" s="27">
        <v>0</v>
      </c>
      <c r="C1" s="27">
        <v>1</v>
      </c>
      <c r="D1" s="27">
        <v>2</v>
      </c>
      <c r="E1" s="27">
        <v>3</v>
      </c>
      <c r="F1" s="27">
        <v>4</v>
      </c>
      <c r="G1" s="27">
        <v>5</v>
      </c>
      <c r="H1" s="27">
        <v>6</v>
      </c>
      <c r="I1" s="27">
        <v>7</v>
      </c>
      <c r="J1" s="27">
        <v>8</v>
      </c>
      <c r="K1" s="27">
        <v>9</v>
      </c>
      <c r="L1" s="27">
        <v>10</v>
      </c>
      <c r="M1" s="27">
        <v>11</v>
      </c>
      <c r="N1" s="27">
        <v>12</v>
      </c>
      <c r="O1" s="27">
        <v>13</v>
      </c>
      <c r="P1" s="27">
        <v>14</v>
      </c>
      <c r="Q1" s="27">
        <v>15</v>
      </c>
      <c r="R1" s="27">
        <v>16</v>
      </c>
      <c r="S1" s="27">
        <v>17</v>
      </c>
      <c r="T1" s="27">
        <v>18</v>
      </c>
      <c r="U1" s="27">
        <v>19</v>
      </c>
      <c r="V1" s="27">
        <v>20</v>
      </c>
      <c r="W1" s="27">
        <v>21</v>
      </c>
      <c r="X1" s="27">
        <v>22</v>
      </c>
      <c r="Y1" s="27">
        <v>23</v>
      </c>
    </row>
    <row r="2" spans="1:25" x14ac:dyDescent="0.25">
      <c r="A2" s="28"/>
      <c r="B2" s="27"/>
      <c r="C2" s="27"/>
      <c r="D2" s="27"/>
      <c r="E2" s="27"/>
      <c r="F2" s="27"/>
      <c r="G2" s="27"/>
      <c r="H2" s="27"/>
      <c r="I2" s="27"/>
      <c r="J2" s="27"/>
      <c r="K2" s="27"/>
      <c r="L2" s="27"/>
      <c r="M2" s="27"/>
      <c r="N2" s="27"/>
      <c r="O2" s="27"/>
      <c r="P2" s="27"/>
      <c r="Q2" s="27"/>
      <c r="R2" s="27"/>
      <c r="S2" s="27"/>
      <c r="T2" s="27"/>
      <c r="U2" s="27"/>
      <c r="V2" s="27"/>
      <c r="W2" s="27"/>
      <c r="X2" s="27"/>
      <c r="Y2" s="27"/>
    </row>
    <row r="3" spans="1:25" x14ac:dyDescent="0.25">
      <c r="A3" s="28"/>
      <c r="B3" s="27"/>
      <c r="C3" s="27"/>
      <c r="D3" s="27"/>
      <c r="E3" s="27"/>
      <c r="F3" s="27"/>
      <c r="G3" s="27"/>
      <c r="H3" s="27"/>
      <c r="I3" s="27"/>
      <c r="J3" s="27"/>
      <c r="K3" s="27"/>
      <c r="L3" s="27"/>
      <c r="M3" s="27"/>
      <c r="N3" s="27"/>
      <c r="O3" s="27"/>
      <c r="P3" s="27"/>
      <c r="Q3" s="27"/>
      <c r="R3" s="27"/>
      <c r="S3" s="27"/>
      <c r="T3" s="27"/>
      <c r="U3" s="27"/>
      <c r="V3" s="27"/>
      <c r="W3" s="27"/>
      <c r="X3" s="27"/>
      <c r="Y3" s="27"/>
    </row>
    <row r="4" spans="1:25" x14ac:dyDescent="0.25">
      <c r="A4" s="28"/>
      <c r="B4" s="27"/>
      <c r="C4" s="27"/>
      <c r="D4" s="27"/>
      <c r="E4" s="27"/>
      <c r="F4" s="27"/>
      <c r="G4" s="27"/>
      <c r="H4" s="27"/>
      <c r="I4" s="27"/>
      <c r="J4" s="27"/>
      <c r="K4" s="27"/>
      <c r="L4" s="27"/>
      <c r="M4" s="27"/>
      <c r="N4" s="27"/>
      <c r="O4" s="27"/>
      <c r="P4" s="27"/>
      <c r="Q4" s="27"/>
      <c r="R4" s="27"/>
      <c r="S4" s="27"/>
      <c r="T4" s="27"/>
      <c r="U4" s="27"/>
      <c r="V4" s="27"/>
      <c r="W4" s="27"/>
      <c r="X4" s="27"/>
      <c r="Y4" s="27"/>
    </row>
    <row r="5" spans="1:25" x14ac:dyDescent="0.25">
      <c r="A5" s="28"/>
      <c r="B5" s="27"/>
      <c r="C5" s="27"/>
      <c r="D5" s="27"/>
      <c r="E5" s="27"/>
      <c r="F5" s="27"/>
      <c r="G5" s="27"/>
      <c r="H5" s="27"/>
      <c r="I5" s="27"/>
      <c r="J5" s="27"/>
      <c r="K5" s="27"/>
      <c r="L5" s="27"/>
      <c r="M5" s="27"/>
      <c r="N5" s="27"/>
      <c r="O5" s="27"/>
      <c r="P5" s="27"/>
      <c r="Q5" s="27"/>
      <c r="R5" s="27"/>
      <c r="S5" s="27"/>
      <c r="T5" s="27"/>
      <c r="U5" s="27"/>
      <c r="V5" s="27"/>
      <c r="W5" s="27"/>
      <c r="X5" s="27"/>
      <c r="Y5" s="27"/>
    </row>
    <row r="6" spans="1:25" x14ac:dyDescent="0.25">
      <c r="A6" s="28"/>
      <c r="B6" s="27"/>
      <c r="C6" s="27"/>
      <c r="D6" s="27"/>
      <c r="E6" s="27"/>
      <c r="F6" s="27"/>
      <c r="G6" s="27"/>
      <c r="H6" s="27"/>
      <c r="I6" s="27"/>
      <c r="J6" s="27"/>
      <c r="K6" s="27"/>
      <c r="L6" s="27"/>
      <c r="M6" s="27"/>
      <c r="N6" s="27"/>
      <c r="O6" s="27"/>
      <c r="P6" s="27"/>
      <c r="Q6" s="27"/>
      <c r="R6" s="27"/>
      <c r="S6" s="27"/>
      <c r="T6" s="27"/>
      <c r="U6" s="27"/>
      <c r="V6" s="27"/>
      <c r="W6" s="27"/>
      <c r="X6" s="27"/>
      <c r="Y6" s="27"/>
    </row>
    <row r="7" spans="1:25" x14ac:dyDescent="0.25">
      <c r="A7" s="28"/>
      <c r="B7" s="27"/>
      <c r="C7" s="27"/>
      <c r="D7" s="27"/>
      <c r="E7" s="27"/>
      <c r="F7" s="27"/>
      <c r="G7" s="27"/>
      <c r="H7" s="27"/>
      <c r="I7" s="27"/>
      <c r="J7" s="27"/>
      <c r="K7" s="27"/>
      <c r="L7" s="27"/>
      <c r="M7" s="27"/>
      <c r="N7" s="27"/>
      <c r="O7" s="27"/>
      <c r="P7" s="27"/>
      <c r="Q7" s="27"/>
      <c r="R7" s="27"/>
      <c r="S7" s="27"/>
      <c r="T7" s="27"/>
      <c r="U7" s="27"/>
      <c r="V7" s="27"/>
      <c r="W7" s="27"/>
      <c r="X7" s="27"/>
      <c r="Y7" s="27"/>
    </row>
    <row r="8" spans="1:25" x14ac:dyDescent="0.25">
      <c r="A8" s="28"/>
      <c r="B8" s="27"/>
      <c r="C8" s="27"/>
      <c r="D8" s="27"/>
      <c r="E8" s="27"/>
      <c r="F8" s="27"/>
      <c r="G8" s="27"/>
      <c r="H8" s="27"/>
      <c r="I8" s="27"/>
      <c r="J8" s="27"/>
      <c r="K8" s="27"/>
      <c r="L8" s="27"/>
      <c r="M8" s="27"/>
      <c r="N8" s="27"/>
      <c r="O8" s="27"/>
      <c r="P8" s="27"/>
      <c r="Q8" s="27"/>
      <c r="R8" s="27"/>
      <c r="S8" s="27"/>
      <c r="T8" s="27"/>
      <c r="U8" s="27"/>
      <c r="V8" s="27"/>
      <c r="W8" s="27"/>
      <c r="X8" s="27"/>
      <c r="Y8" s="27"/>
    </row>
    <row r="9" spans="1:25" x14ac:dyDescent="0.25">
      <c r="A9" s="28"/>
      <c r="B9" s="27"/>
      <c r="C9" s="27"/>
      <c r="D9" s="27"/>
      <c r="E9" s="27"/>
      <c r="F9" s="27"/>
      <c r="G9" s="27"/>
      <c r="H9" s="27"/>
      <c r="I9" s="27"/>
      <c r="J9" s="27"/>
      <c r="K9" s="27"/>
      <c r="L9" s="27"/>
      <c r="M9" s="27"/>
      <c r="N9" s="27"/>
      <c r="O9" s="27"/>
      <c r="P9" s="27"/>
      <c r="Q9" s="27"/>
      <c r="R9" s="27"/>
      <c r="S9" s="27"/>
      <c r="T9" s="27"/>
      <c r="U9" s="27"/>
      <c r="V9" s="27"/>
      <c r="W9" s="27"/>
      <c r="X9" s="27"/>
      <c r="Y9" s="27"/>
    </row>
    <row r="10" spans="1:25" x14ac:dyDescent="0.25">
      <c r="A10" s="28"/>
      <c r="B10" s="27"/>
      <c r="C10" s="27"/>
      <c r="D10" s="27"/>
      <c r="E10" s="27"/>
      <c r="F10" s="27"/>
      <c r="G10" s="27"/>
      <c r="H10" s="27"/>
      <c r="I10" s="27"/>
      <c r="J10" s="27"/>
      <c r="K10" s="27"/>
      <c r="L10" s="27"/>
      <c r="M10" s="27"/>
      <c r="N10" s="27"/>
      <c r="O10" s="27"/>
      <c r="P10" s="27"/>
      <c r="Q10" s="27"/>
      <c r="R10" s="27"/>
      <c r="S10" s="27"/>
      <c r="T10" s="27"/>
      <c r="U10" s="27"/>
      <c r="V10" s="27"/>
      <c r="W10" s="27"/>
      <c r="X10" s="27"/>
      <c r="Y10" s="27"/>
    </row>
    <row r="11" spans="1:25" x14ac:dyDescent="0.25">
      <c r="A11" s="28"/>
      <c r="B11" s="27"/>
      <c r="C11" s="27"/>
      <c r="D11" s="27"/>
      <c r="E11" s="27"/>
      <c r="F11" s="27"/>
      <c r="G11" s="27"/>
      <c r="H11" s="27"/>
      <c r="I11" s="27"/>
      <c r="J11" s="27"/>
      <c r="K11" s="27"/>
      <c r="L11" s="27"/>
      <c r="M11" s="27"/>
      <c r="N11" s="27"/>
      <c r="O11" s="27"/>
      <c r="P11" s="27"/>
      <c r="Q11" s="27"/>
      <c r="R11" s="27"/>
      <c r="S11" s="27"/>
      <c r="T11" s="27"/>
      <c r="U11" s="27"/>
      <c r="V11" s="27"/>
      <c r="W11" s="27"/>
      <c r="X11" s="27"/>
      <c r="Y11" s="27"/>
    </row>
    <row r="12" spans="1:25" x14ac:dyDescent="0.25">
      <c r="A12" s="28"/>
      <c r="B12" s="27"/>
      <c r="C12" s="27"/>
      <c r="D12" s="27"/>
      <c r="E12" s="27"/>
      <c r="F12" s="27"/>
      <c r="G12" s="27"/>
      <c r="H12" s="27"/>
      <c r="I12" s="27"/>
      <c r="J12" s="27"/>
      <c r="K12" s="27"/>
      <c r="L12" s="27"/>
      <c r="M12" s="27"/>
      <c r="N12" s="27"/>
      <c r="O12" s="27"/>
      <c r="P12" s="27"/>
      <c r="Q12" s="27"/>
      <c r="R12" s="27"/>
      <c r="S12" s="27"/>
      <c r="T12" s="27"/>
      <c r="U12" s="27"/>
      <c r="V12" s="27"/>
      <c r="W12" s="27"/>
      <c r="X12" s="27"/>
      <c r="Y12" s="27"/>
    </row>
    <row r="13" spans="1:25" x14ac:dyDescent="0.25">
      <c r="A13" s="28"/>
      <c r="B13" s="27"/>
      <c r="C13" s="27"/>
      <c r="D13" s="27"/>
      <c r="E13" s="27"/>
      <c r="F13" s="27"/>
      <c r="G13" s="27"/>
      <c r="H13" s="27"/>
      <c r="I13" s="27"/>
      <c r="J13" s="27"/>
      <c r="K13" s="27"/>
      <c r="L13" s="27"/>
      <c r="M13" s="27"/>
      <c r="N13" s="27"/>
      <c r="O13" s="27"/>
      <c r="P13" s="27"/>
      <c r="Q13" s="27"/>
      <c r="R13" s="27"/>
      <c r="S13" s="27"/>
      <c r="T13" s="27"/>
      <c r="U13" s="27"/>
      <c r="V13" s="27"/>
      <c r="W13" s="27"/>
      <c r="X13" s="27"/>
      <c r="Y13" s="27"/>
    </row>
    <row r="14" spans="1:25" x14ac:dyDescent="0.25">
      <c r="A14" s="28"/>
      <c r="B14" s="27"/>
      <c r="C14" s="27"/>
      <c r="D14" s="27"/>
      <c r="E14" s="27"/>
      <c r="F14" s="27"/>
      <c r="G14" s="27"/>
      <c r="H14" s="27"/>
      <c r="I14" s="27"/>
      <c r="J14" s="27"/>
      <c r="K14" s="27"/>
      <c r="L14" s="27"/>
      <c r="M14" s="27"/>
      <c r="N14" s="27"/>
      <c r="O14" s="27"/>
      <c r="P14" s="27"/>
      <c r="Q14" s="27"/>
      <c r="R14" s="27"/>
      <c r="S14" s="27"/>
      <c r="T14" s="27"/>
      <c r="U14" s="27"/>
      <c r="V14" s="27"/>
      <c r="W14" s="27"/>
      <c r="X14" s="27"/>
      <c r="Y14" s="27"/>
    </row>
    <row r="15" spans="1:25" x14ac:dyDescent="0.25">
      <c r="A15" s="28"/>
      <c r="B15" s="27"/>
      <c r="C15" s="27"/>
      <c r="D15" s="27"/>
      <c r="E15" s="27"/>
      <c r="F15" s="27"/>
      <c r="G15" s="27"/>
      <c r="H15" s="27"/>
      <c r="I15" s="27"/>
      <c r="J15" s="27"/>
      <c r="K15" s="27"/>
      <c r="L15" s="27"/>
      <c r="M15" s="27"/>
      <c r="N15" s="27"/>
      <c r="O15" s="27"/>
      <c r="P15" s="27"/>
      <c r="Q15" s="27"/>
      <c r="R15" s="27"/>
      <c r="S15" s="27"/>
      <c r="T15" s="27"/>
      <c r="U15" s="27"/>
      <c r="V15" s="27"/>
      <c r="W15" s="27"/>
      <c r="X15" s="27"/>
      <c r="Y15" s="27"/>
    </row>
    <row r="16" spans="1:25" x14ac:dyDescent="0.25">
      <c r="A16" s="28"/>
      <c r="B16" s="27"/>
      <c r="C16" s="27"/>
      <c r="D16" s="27"/>
      <c r="E16" s="27"/>
      <c r="F16" s="27"/>
      <c r="G16" s="27"/>
      <c r="H16" s="27"/>
      <c r="I16" s="27"/>
      <c r="J16" s="27"/>
      <c r="K16" s="27"/>
      <c r="L16" s="27"/>
      <c r="M16" s="27"/>
      <c r="N16" s="27"/>
      <c r="O16" s="27"/>
      <c r="P16" s="27"/>
      <c r="Q16" s="27"/>
      <c r="R16" s="27"/>
      <c r="S16" s="27"/>
      <c r="T16" s="27"/>
      <c r="U16" s="27"/>
      <c r="V16" s="27"/>
      <c r="W16" s="27"/>
      <c r="X16" s="27"/>
      <c r="Y16" s="27"/>
    </row>
    <row r="17" spans="1:25" x14ac:dyDescent="0.25">
      <c r="A17" s="28"/>
      <c r="B17" s="27"/>
      <c r="C17" s="27"/>
      <c r="D17" s="27"/>
      <c r="E17" s="27"/>
      <c r="F17" s="27"/>
      <c r="G17" s="27"/>
      <c r="H17" s="27"/>
      <c r="I17" s="27"/>
      <c r="J17" s="27"/>
      <c r="K17" s="27"/>
      <c r="L17" s="27"/>
      <c r="M17" s="27"/>
      <c r="N17" s="27"/>
      <c r="O17" s="27"/>
      <c r="P17" s="27"/>
      <c r="Q17" s="27"/>
      <c r="R17" s="27"/>
      <c r="S17" s="27"/>
      <c r="T17" s="27"/>
      <c r="U17" s="27"/>
      <c r="V17" s="27"/>
      <c r="W17" s="27"/>
      <c r="X17" s="27"/>
      <c r="Y17" s="27"/>
    </row>
    <row r="18" spans="1:25" x14ac:dyDescent="0.25">
      <c r="A18" s="28"/>
      <c r="B18" s="27"/>
      <c r="C18" s="27"/>
      <c r="D18" s="27"/>
      <c r="E18" s="27"/>
      <c r="F18" s="27"/>
      <c r="G18" s="27"/>
      <c r="H18" s="27"/>
      <c r="I18" s="27"/>
      <c r="J18" s="27"/>
      <c r="K18" s="27"/>
      <c r="L18" s="27"/>
      <c r="M18" s="27"/>
      <c r="N18" s="27"/>
      <c r="O18" s="27"/>
      <c r="P18" s="27"/>
      <c r="Q18" s="27"/>
      <c r="R18" s="27"/>
      <c r="S18" s="27"/>
      <c r="T18" s="27"/>
      <c r="U18" s="27"/>
      <c r="V18" s="27"/>
      <c r="W18" s="27"/>
      <c r="X18" s="27"/>
      <c r="Y18" s="27"/>
    </row>
    <row r="19" spans="1:25" x14ac:dyDescent="0.25">
      <c r="A19" s="28"/>
      <c r="B19" s="27"/>
      <c r="C19" s="27"/>
      <c r="D19" s="27"/>
      <c r="E19" s="27"/>
      <c r="F19" s="27"/>
      <c r="G19" s="27"/>
      <c r="H19" s="27"/>
      <c r="I19" s="27"/>
      <c r="J19" s="27"/>
      <c r="K19" s="27"/>
      <c r="L19" s="27"/>
      <c r="M19" s="27"/>
      <c r="N19" s="27"/>
      <c r="O19" s="27"/>
      <c r="P19" s="27"/>
      <c r="Q19" s="27"/>
      <c r="R19" s="27"/>
      <c r="S19" s="27"/>
      <c r="T19" s="27"/>
      <c r="U19" s="27"/>
      <c r="V19" s="27"/>
      <c r="W19" s="27"/>
      <c r="X19" s="27"/>
      <c r="Y19" s="27"/>
    </row>
    <row r="20" spans="1:25" x14ac:dyDescent="0.25">
      <c r="A20" s="28"/>
      <c r="B20" s="27"/>
      <c r="C20" s="27"/>
      <c r="D20" s="27"/>
      <c r="E20" s="27"/>
      <c r="F20" s="27"/>
      <c r="G20" s="27"/>
      <c r="H20" s="27"/>
      <c r="I20" s="27"/>
      <c r="J20" s="27"/>
      <c r="K20" s="27"/>
      <c r="L20" s="27"/>
      <c r="M20" s="27"/>
      <c r="N20" s="27"/>
      <c r="O20" s="27"/>
      <c r="P20" s="27"/>
      <c r="Q20" s="27"/>
      <c r="R20" s="27"/>
      <c r="S20" s="27"/>
      <c r="T20" s="27"/>
      <c r="U20" s="27"/>
      <c r="V20" s="27"/>
      <c r="W20" s="27"/>
      <c r="X20" s="27"/>
      <c r="Y20" s="27"/>
    </row>
    <row r="21" spans="1:25" x14ac:dyDescent="0.25">
      <c r="A21" s="28"/>
      <c r="B21" s="27"/>
      <c r="C21" s="27"/>
      <c r="D21" s="27"/>
      <c r="E21" s="27"/>
      <c r="F21" s="27"/>
      <c r="G21" s="27"/>
      <c r="H21" s="27"/>
      <c r="I21" s="27"/>
      <c r="J21" s="27"/>
      <c r="K21" s="27"/>
      <c r="L21" s="27"/>
      <c r="M21" s="27"/>
      <c r="N21" s="27"/>
      <c r="O21" s="27"/>
      <c r="P21" s="27"/>
      <c r="Q21" s="27"/>
      <c r="R21" s="27"/>
      <c r="S21" s="27"/>
      <c r="T21" s="27"/>
      <c r="U21" s="27"/>
      <c r="V21" s="27"/>
      <c r="W21" s="27"/>
      <c r="X21" s="27"/>
      <c r="Y21" s="27"/>
    </row>
    <row r="22" spans="1:25" x14ac:dyDescent="0.25">
      <c r="A22" s="28"/>
      <c r="B22" s="27"/>
      <c r="C22" s="27"/>
      <c r="D22" s="27"/>
      <c r="E22" s="27"/>
      <c r="F22" s="27"/>
      <c r="G22" s="27"/>
      <c r="H22" s="27"/>
      <c r="I22" s="27"/>
      <c r="J22" s="27"/>
      <c r="K22" s="27"/>
      <c r="L22" s="27"/>
      <c r="M22" s="27"/>
      <c r="N22" s="27"/>
      <c r="O22" s="27"/>
      <c r="P22" s="27"/>
      <c r="Q22" s="27"/>
      <c r="R22" s="27"/>
      <c r="S22" s="27"/>
      <c r="T22" s="27"/>
      <c r="U22" s="27"/>
      <c r="V22" s="27"/>
      <c r="W22" s="27"/>
      <c r="X22" s="27"/>
      <c r="Y22" s="27"/>
    </row>
    <row r="23" spans="1:25" x14ac:dyDescent="0.25">
      <c r="A23" s="28"/>
      <c r="B23" s="27"/>
      <c r="C23" s="27"/>
      <c r="D23" s="27"/>
      <c r="E23" s="27"/>
      <c r="F23" s="27"/>
      <c r="G23" s="27"/>
      <c r="H23" s="27"/>
      <c r="I23" s="27"/>
      <c r="J23" s="27"/>
      <c r="K23" s="27"/>
      <c r="L23" s="27"/>
      <c r="M23" s="27"/>
      <c r="N23" s="27"/>
      <c r="O23" s="27"/>
      <c r="P23" s="27"/>
      <c r="Q23" s="27"/>
      <c r="R23" s="27"/>
      <c r="S23" s="27"/>
      <c r="T23" s="27"/>
      <c r="U23" s="27"/>
      <c r="V23" s="27"/>
      <c r="W23" s="27"/>
      <c r="X23" s="27"/>
      <c r="Y23" s="27"/>
    </row>
    <row r="24" spans="1:25" x14ac:dyDescent="0.25">
      <c r="A24" s="28"/>
      <c r="B24" s="27"/>
      <c r="C24" s="27"/>
      <c r="D24" s="27"/>
      <c r="E24" s="27"/>
      <c r="F24" s="27"/>
      <c r="G24" s="27"/>
      <c r="H24" s="27"/>
      <c r="I24" s="27"/>
      <c r="J24" s="27"/>
      <c r="K24" s="27"/>
      <c r="L24" s="27"/>
      <c r="M24" s="27"/>
      <c r="N24" s="27"/>
      <c r="O24" s="27"/>
      <c r="P24" s="27"/>
      <c r="Q24" s="27"/>
      <c r="R24" s="27"/>
      <c r="S24" s="27"/>
      <c r="T24" s="27"/>
      <c r="U24" s="27"/>
      <c r="V24" s="27"/>
      <c r="W24" s="27"/>
      <c r="X24" s="27"/>
      <c r="Y24" s="27"/>
    </row>
    <row r="25" spans="1:25" x14ac:dyDescent="0.25">
      <c r="A25" s="28"/>
      <c r="B25" s="27"/>
      <c r="C25" s="27"/>
      <c r="D25" s="27"/>
      <c r="E25" s="27"/>
      <c r="F25" s="27"/>
      <c r="G25" s="27"/>
      <c r="H25" s="27"/>
      <c r="I25" s="27"/>
      <c r="J25" s="27"/>
      <c r="K25" s="27"/>
      <c r="L25" s="27"/>
      <c r="M25" s="27"/>
      <c r="N25" s="27"/>
      <c r="O25" s="27"/>
      <c r="P25" s="27"/>
      <c r="Q25" s="27"/>
      <c r="R25" s="27"/>
      <c r="S25" s="27"/>
      <c r="T25" s="27"/>
      <c r="U25" s="27"/>
      <c r="V25" s="27"/>
      <c r="W25" s="27"/>
      <c r="X25" s="27"/>
      <c r="Y25" s="27"/>
    </row>
    <row r="26" spans="1:25" x14ac:dyDescent="0.25">
      <c r="A26" s="28"/>
      <c r="B26" s="27"/>
      <c r="C26" s="27"/>
      <c r="D26" s="27"/>
      <c r="E26" s="27"/>
      <c r="F26" s="27"/>
      <c r="G26" s="27"/>
      <c r="H26" s="27"/>
      <c r="I26" s="27"/>
      <c r="J26" s="27"/>
      <c r="K26" s="27"/>
      <c r="L26" s="27"/>
      <c r="M26" s="27"/>
      <c r="N26" s="27"/>
      <c r="O26" s="27"/>
      <c r="P26" s="27"/>
      <c r="Q26" s="27"/>
      <c r="R26" s="27"/>
      <c r="S26" s="27"/>
      <c r="T26" s="27"/>
      <c r="U26" s="27"/>
      <c r="V26" s="27"/>
      <c r="W26" s="27"/>
      <c r="X26" s="27"/>
      <c r="Y26" s="27"/>
    </row>
    <row r="27" spans="1:25" x14ac:dyDescent="0.25">
      <c r="A27" s="28"/>
      <c r="B27" s="27"/>
      <c r="C27" s="27"/>
      <c r="D27" s="27"/>
      <c r="E27" s="27"/>
      <c r="F27" s="27"/>
      <c r="G27" s="27"/>
      <c r="H27" s="27"/>
      <c r="I27" s="27"/>
      <c r="J27" s="27"/>
      <c r="K27" s="27"/>
      <c r="L27" s="27"/>
      <c r="M27" s="27"/>
      <c r="N27" s="27"/>
      <c r="O27" s="27"/>
      <c r="P27" s="27"/>
      <c r="Q27" s="27"/>
      <c r="R27" s="27"/>
      <c r="S27" s="27"/>
      <c r="T27" s="27"/>
      <c r="U27" s="27"/>
      <c r="V27" s="27"/>
      <c r="W27" s="27"/>
      <c r="X27" s="27"/>
      <c r="Y27" s="27"/>
    </row>
    <row r="28" spans="1:25" x14ac:dyDescent="0.25">
      <c r="A28" s="28"/>
      <c r="B28" s="27"/>
      <c r="C28" s="27"/>
      <c r="D28" s="27"/>
      <c r="E28" s="27"/>
      <c r="F28" s="27"/>
      <c r="G28" s="27"/>
      <c r="H28" s="27"/>
      <c r="I28" s="27"/>
      <c r="J28" s="27"/>
      <c r="K28" s="27"/>
      <c r="L28" s="27"/>
      <c r="M28" s="27"/>
      <c r="N28" s="27"/>
      <c r="O28" s="27"/>
      <c r="P28" s="27"/>
      <c r="Q28" s="27"/>
      <c r="R28" s="27"/>
      <c r="S28" s="27"/>
      <c r="T28" s="27"/>
      <c r="U28" s="27"/>
      <c r="V28" s="27"/>
      <c r="W28" s="27"/>
      <c r="X28" s="27"/>
      <c r="Y28" s="27"/>
    </row>
    <row r="29" spans="1:25" x14ac:dyDescent="0.25">
      <c r="A29" s="28"/>
      <c r="B29" s="27"/>
      <c r="C29" s="27"/>
      <c r="D29" s="27"/>
      <c r="E29" s="27"/>
      <c r="F29" s="27"/>
      <c r="G29" s="27"/>
      <c r="H29" s="27"/>
      <c r="I29" s="27"/>
      <c r="J29" s="27"/>
      <c r="K29" s="27"/>
      <c r="L29" s="27"/>
      <c r="M29" s="27"/>
      <c r="N29" s="27"/>
      <c r="O29" s="27"/>
      <c r="P29" s="27"/>
      <c r="Q29" s="27"/>
      <c r="R29" s="27"/>
      <c r="S29" s="27"/>
      <c r="T29" s="27"/>
      <c r="U29" s="27"/>
      <c r="V29" s="27"/>
      <c r="W29" s="27"/>
      <c r="X29" s="27"/>
      <c r="Y29" s="27"/>
    </row>
    <row r="30" spans="1:25" x14ac:dyDescent="0.25">
      <c r="A30" s="28"/>
      <c r="B30" s="27"/>
      <c r="C30" s="27"/>
      <c r="D30" s="27"/>
      <c r="E30" s="27"/>
      <c r="F30" s="27"/>
      <c r="G30" s="27"/>
      <c r="H30" s="27"/>
      <c r="I30" s="27"/>
      <c r="J30" s="27"/>
      <c r="K30" s="27"/>
      <c r="L30" s="27"/>
      <c r="M30" s="27"/>
      <c r="N30" s="27"/>
      <c r="O30" s="27"/>
      <c r="P30" s="27"/>
      <c r="Q30" s="27"/>
      <c r="R30" s="27"/>
      <c r="S30" s="27"/>
      <c r="T30" s="27"/>
      <c r="U30" s="27"/>
      <c r="V30" s="27"/>
      <c r="W30" s="27"/>
      <c r="X30" s="27"/>
      <c r="Y30" s="27"/>
    </row>
    <row r="31" spans="1:25" x14ac:dyDescent="0.25">
      <c r="A31" s="28"/>
      <c r="B31" s="27"/>
      <c r="C31" s="27"/>
      <c r="D31" s="27"/>
      <c r="E31" s="27"/>
      <c r="F31" s="27"/>
      <c r="G31" s="27"/>
      <c r="H31" s="27"/>
      <c r="I31" s="27"/>
      <c r="J31" s="27"/>
      <c r="K31" s="27"/>
      <c r="L31" s="27"/>
      <c r="M31" s="27"/>
      <c r="N31" s="27"/>
      <c r="O31" s="27"/>
      <c r="P31" s="27"/>
      <c r="Q31" s="27"/>
      <c r="R31" s="27"/>
      <c r="S31" s="27"/>
      <c r="T31" s="27"/>
      <c r="U31" s="27"/>
      <c r="V31" s="27"/>
      <c r="W31" s="27"/>
      <c r="X31" s="27"/>
      <c r="Y31" s="27"/>
    </row>
    <row r="32" spans="1:25" x14ac:dyDescent="0.25">
      <c r="A32" s="28"/>
      <c r="B32" s="27"/>
      <c r="C32" s="27"/>
      <c r="D32" s="27"/>
      <c r="E32" s="27"/>
      <c r="F32" s="27"/>
      <c r="G32" s="27"/>
      <c r="H32" s="27"/>
      <c r="I32" s="27"/>
      <c r="J32" s="27"/>
      <c r="K32" s="27"/>
      <c r="L32" s="27"/>
      <c r="M32" s="27"/>
      <c r="N32" s="27"/>
      <c r="O32" s="27"/>
      <c r="P32" s="27"/>
      <c r="Q32" s="27"/>
      <c r="R32" s="27"/>
      <c r="S32" s="27"/>
      <c r="T32" s="27"/>
      <c r="U32" s="27"/>
      <c r="V32" s="27"/>
      <c r="W32" s="27"/>
      <c r="X32" s="27"/>
      <c r="Y32" s="27"/>
    </row>
    <row r="33" spans="1:25" x14ac:dyDescent="0.25">
      <c r="A33" s="28"/>
      <c r="B33" s="27"/>
      <c r="C33" s="27"/>
      <c r="D33" s="27"/>
      <c r="E33" s="27"/>
      <c r="F33" s="27"/>
      <c r="G33" s="27"/>
      <c r="H33" s="27"/>
      <c r="I33" s="27"/>
      <c r="J33" s="27"/>
      <c r="K33" s="27"/>
      <c r="L33" s="27"/>
      <c r="M33" s="27"/>
      <c r="N33" s="27"/>
      <c r="O33" s="27"/>
      <c r="P33" s="27"/>
      <c r="Q33" s="27"/>
      <c r="R33" s="27"/>
      <c r="S33" s="27"/>
      <c r="T33" s="27"/>
      <c r="U33" s="27"/>
      <c r="V33" s="27"/>
      <c r="W33" s="27"/>
      <c r="X33" s="27"/>
      <c r="Y33" s="27"/>
    </row>
    <row r="34" spans="1:25" x14ac:dyDescent="0.25">
      <c r="A34" s="28"/>
      <c r="B34" s="27"/>
      <c r="C34" s="27"/>
      <c r="D34" s="27"/>
      <c r="E34" s="27"/>
      <c r="F34" s="27"/>
      <c r="G34" s="27"/>
      <c r="H34" s="27"/>
      <c r="I34" s="27"/>
      <c r="J34" s="27"/>
      <c r="K34" s="27"/>
      <c r="L34" s="27"/>
      <c r="M34" s="27"/>
      <c r="N34" s="27"/>
      <c r="O34" s="27"/>
      <c r="P34" s="27"/>
      <c r="Q34" s="27"/>
      <c r="R34" s="27"/>
      <c r="S34" s="27"/>
      <c r="T34" s="27"/>
      <c r="U34" s="27"/>
      <c r="V34" s="27"/>
      <c r="W34" s="27"/>
      <c r="X34" s="27"/>
      <c r="Y34" s="27"/>
    </row>
    <row r="35" spans="1:25" x14ac:dyDescent="0.25">
      <c r="A35" s="28"/>
      <c r="B35" s="27"/>
      <c r="C35" s="27"/>
      <c r="D35" s="27"/>
      <c r="E35" s="27"/>
      <c r="F35" s="27"/>
      <c r="G35" s="27"/>
      <c r="H35" s="27"/>
      <c r="I35" s="27"/>
      <c r="J35" s="27"/>
      <c r="K35" s="27"/>
      <c r="L35" s="27"/>
      <c r="M35" s="27"/>
      <c r="N35" s="27"/>
      <c r="O35" s="27"/>
      <c r="P35" s="27"/>
      <c r="Q35" s="27"/>
      <c r="R35" s="27"/>
      <c r="S35" s="27"/>
      <c r="T35" s="27"/>
      <c r="U35" s="27"/>
      <c r="V35" s="27"/>
      <c r="W35" s="27"/>
      <c r="X35" s="27"/>
      <c r="Y35" s="27"/>
    </row>
    <row r="36" spans="1:25" x14ac:dyDescent="0.25">
      <c r="A36" s="28"/>
      <c r="B36" s="27"/>
      <c r="C36" s="27"/>
      <c r="D36" s="27"/>
      <c r="E36" s="27"/>
      <c r="F36" s="27"/>
      <c r="G36" s="27"/>
      <c r="H36" s="27"/>
      <c r="I36" s="27"/>
      <c r="J36" s="27"/>
      <c r="K36" s="27"/>
      <c r="L36" s="27"/>
      <c r="M36" s="27"/>
      <c r="N36" s="27"/>
      <c r="O36" s="27"/>
      <c r="P36" s="27"/>
      <c r="Q36" s="27"/>
      <c r="R36" s="27"/>
      <c r="S36" s="27"/>
      <c r="T36" s="27"/>
      <c r="U36" s="27"/>
      <c r="V36" s="27"/>
      <c r="W36" s="27"/>
      <c r="X36" s="27"/>
      <c r="Y36" s="27"/>
    </row>
    <row r="37" spans="1:25" x14ac:dyDescent="0.25">
      <c r="A37" s="28"/>
      <c r="B37" s="27"/>
      <c r="C37" s="27"/>
      <c r="D37" s="27"/>
      <c r="E37" s="27"/>
      <c r="F37" s="27"/>
      <c r="G37" s="27"/>
      <c r="H37" s="27"/>
      <c r="I37" s="27"/>
      <c r="J37" s="27"/>
      <c r="K37" s="27"/>
      <c r="L37" s="27"/>
      <c r="M37" s="27"/>
      <c r="N37" s="27"/>
      <c r="O37" s="27"/>
      <c r="P37" s="27"/>
      <c r="Q37" s="27"/>
      <c r="R37" s="27"/>
      <c r="S37" s="27"/>
      <c r="T37" s="27"/>
      <c r="U37" s="27"/>
      <c r="V37" s="27"/>
      <c r="W37" s="27"/>
      <c r="X37" s="27"/>
      <c r="Y37" s="27"/>
    </row>
    <row r="38" spans="1:25" x14ac:dyDescent="0.25">
      <c r="A38" s="28"/>
      <c r="B38" s="27"/>
      <c r="C38" s="27"/>
      <c r="D38" s="27"/>
      <c r="E38" s="27"/>
      <c r="F38" s="27"/>
      <c r="G38" s="27"/>
      <c r="H38" s="27"/>
      <c r="I38" s="27"/>
      <c r="J38" s="27"/>
      <c r="K38" s="27"/>
      <c r="L38" s="27"/>
      <c r="M38" s="27"/>
      <c r="N38" s="27"/>
      <c r="O38" s="27"/>
      <c r="P38" s="27"/>
      <c r="Q38" s="27"/>
      <c r="R38" s="27"/>
      <c r="S38" s="27"/>
      <c r="T38" s="27"/>
      <c r="U38" s="27"/>
      <c r="V38" s="27"/>
      <c r="W38" s="27"/>
      <c r="X38" s="27"/>
      <c r="Y38" s="27"/>
    </row>
    <row r="39" spans="1:25" x14ac:dyDescent="0.25">
      <c r="A39" s="28"/>
      <c r="B39" s="27"/>
      <c r="C39" s="27"/>
      <c r="D39" s="27"/>
      <c r="E39" s="27"/>
      <c r="F39" s="27"/>
      <c r="G39" s="27"/>
      <c r="H39" s="27"/>
      <c r="I39" s="27"/>
      <c r="J39" s="27"/>
      <c r="K39" s="27"/>
      <c r="L39" s="27"/>
      <c r="M39" s="27"/>
      <c r="N39" s="27"/>
      <c r="O39" s="27"/>
      <c r="P39" s="27"/>
      <c r="Q39" s="27"/>
      <c r="R39" s="27"/>
      <c r="S39" s="27"/>
      <c r="T39" s="27"/>
      <c r="U39" s="27"/>
      <c r="V39" s="27"/>
      <c r="W39" s="27"/>
      <c r="X39" s="27"/>
      <c r="Y39" s="27"/>
    </row>
    <row r="40" spans="1:25" x14ac:dyDescent="0.25">
      <c r="A40" s="28"/>
      <c r="B40" s="27"/>
      <c r="C40" s="27"/>
      <c r="D40" s="27"/>
      <c r="E40" s="27"/>
      <c r="F40" s="27"/>
      <c r="G40" s="27"/>
      <c r="H40" s="27"/>
      <c r="I40" s="27"/>
      <c r="J40" s="27"/>
      <c r="K40" s="27"/>
      <c r="L40" s="27"/>
      <c r="M40" s="27"/>
      <c r="N40" s="27"/>
      <c r="O40" s="27"/>
      <c r="P40" s="27"/>
      <c r="Q40" s="27"/>
      <c r="R40" s="27"/>
      <c r="S40" s="27"/>
      <c r="T40" s="27"/>
      <c r="U40" s="27"/>
      <c r="V40" s="27"/>
      <c r="W40" s="27"/>
      <c r="X40" s="27"/>
      <c r="Y40" s="27"/>
    </row>
    <row r="41" spans="1:25" x14ac:dyDescent="0.25">
      <c r="A41" s="28"/>
      <c r="B41" s="27"/>
      <c r="C41" s="27"/>
      <c r="D41" s="27"/>
      <c r="E41" s="27"/>
      <c r="F41" s="27"/>
      <c r="G41" s="27"/>
      <c r="H41" s="27"/>
      <c r="I41" s="27"/>
      <c r="J41" s="27"/>
      <c r="K41" s="27"/>
      <c r="L41" s="27"/>
      <c r="M41" s="27"/>
      <c r="N41" s="27"/>
      <c r="O41" s="27"/>
      <c r="P41" s="27"/>
      <c r="Q41" s="27"/>
      <c r="R41" s="27"/>
      <c r="S41" s="27"/>
      <c r="T41" s="27"/>
      <c r="U41" s="27"/>
      <c r="V41" s="27"/>
      <c r="W41" s="27"/>
      <c r="X41" s="27"/>
      <c r="Y41" s="27"/>
    </row>
    <row r="42" spans="1:25" x14ac:dyDescent="0.25">
      <c r="A42" s="28"/>
      <c r="B42" s="27"/>
      <c r="C42" s="27"/>
      <c r="D42" s="27"/>
      <c r="E42" s="27"/>
      <c r="F42" s="27"/>
      <c r="G42" s="27"/>
      <c r="H42" s="27"/>
      <c r="I42" s="27"/>
      <c r="J42" s="27"/>
      <c r="K42" s="27"/>
      <c r="L42" s="27"/>
      <c r="M42" s="27"/>
      <c r="N42" s="27"/>
      <c r="O42" s="27"/>
      <c r="P42" s="27"/>
      <c r="Q42" s="27"/>
      <c r="R42" s="27"/>
      <c r="S42" s="27"/>
      <c r="T42" s="27"/>
      <c r="U42" s="27"/>
      <c r="V42" s="27"/>
      <c r="W42" s="27"/>
      <c r="X42" s="27"/>
      <c r="Y42" s="27"/>
    </row>
    <row r="43" spans="1:25" x14ac:dyDescent="0.25">
      <c r="A43" s="28"/>
      <c r="B43" s="27"/>
      <c r="C43" s="27"/>
      <c r="D43" s="27"/>
      <c r="E43" s="27"/>
      <c r="F43" s="27"/>
      <c r="G43" s="27"/>
      <c r="H43" s="27"/>
      <c r="I43" s="27"/>
      <c r="J43" s="27"/>
      <c r="K43" s="27"/>
      <c r="L43" s="27"/>
      <c r="M43" s="27"/>
      <c r="N43" s="27"/>
      <c r="O43" s="27"/>
      <c r="P43" s="27"/>
      <c r="Q43" s="27"/>
      <c r="R43" s="27"/>
      <c r="S43" s="27"/>
      <c r="T43" s="27"/>
      <c r="U43" s="27"/>
      <c r="V43" s="27"/>
      <c r="W43" s="27"/>
      <c r="X43" s="27"/>
      <c r="Y43" s="27"/>
    </row>
    <row r="44" spans="1:25" x14ac:dyDescent="0.25">
      <c r="A44" s="28"/>
      <c r="B44" s="27"/>
      <c r="C44" s="27"/>
      <c r="D44" s="27"/>
      <c r="E44" s="27"/>
      <c r="F44" s="27"/>
      <c r="G44" s="27"/>
      <c r="H44" s="27"/>
      <c r="I44" s="27"/>
      <c r="J44" s="27"/>
      <c r="K44" s="27"/>
      <c r="L44" s="27"/>
      <c r="M44" s="27"/>
      <c r="N44" s="27"/>
      <c r="O44" s="27"/>
      <c r="P44" s="27"/>
      <c r="Q44" s="27"/>
      <c r="R44" s="27"/>
      <c r="S44" s="27"/>
      <c r="T44" s="27"/>
      <c r="U44" s="27"/>
      <c r="V44" s="27"/>
      <c r="W44" s="27"/>
      <c r="X44" s="27"/>
      <c r="Y44" s="27"/>
    </row>
    <row r="45" spans="1:25" x14ac:dyDescent="0.25">
      <c r="A45" s="28"/>
      <c r="B45" s="27"/>
      <c r="C45" s="27"/>
      <c r="D45" s="27"/>
      <c r="E45" s="27"/>
      <c r="F45" s="27"/>
      <c r="G45" s="27"/>
      <c r="H45" s="27"/>
      <c r="I45" s="27"/>
      <c r="J45" s="27"/>
      <c r="K45" s="27"/>
      <c r="L45" s="27"/>
      <c r="M45" s="27"/>
      <c r="N45" s="27"/>
      <c r="O45" s="27"/>
      <c r="P45" s="27"/>
      <c r="Q45" s="27"/>
      <c r="R45" s="27"/>
      <c r="S45" s="27"/>
      <c r="T45" s="27"/>
      <c r="U45" s="27"/>
      <c r="V45" s="27"/>
      <c r="W45" s="27"/>
      <c r="X45" s="27"/>
      <c r="Y45" s="27"/>
    </row>
    <row r="46" spans="1:25" x14ac:dyDescent="0.25">
      <c r="A46" s="28"/>
      <c r="B46" s="27"/>
      <c r="C46" s="27"/>
      <c r="D46" s="27"/>
      <c r="E46" s="27"/>
      <c r="F46" s="27"/>
      <c r="G46" s="27"/>
      <c r="H46" s="27"/>
      <c r="I46" s="27"/>
      <c r="J46" s="27"/>
      <c r="K46" s="27"/>
      <c r="L46" s="27"/>
      <c r="M46" s="27"/>
      <c r="N46" s="27"/>
      <c r="O46" s="27"/>
      <c r="P46" s="27"/>
      <c r="Q46" s="27"/>
      <c r="R46" s="27"/>
      <c r="S46" s="27"/>
      <c r="T46" s="27"/>
      <c r="U46" s="27"/>
      <c r="V46" s="27"/>
      <c r="W46" s="27"/>
      <c r="X46" s="27"/>
      <c r="Y46" s="27"/>
    </row>
    <row r="47" spans="1:25" x14ac:dyDescent="0.25">
      <c r="A47" s="28"/>
      <c r="B47" s="27"/>
      <c r="C47" s="27"/>
      <c r="D47" s="27"/>
      <c r="E47" s="27"/>
      <c r="F47" s="27"/>
      <c r="G47" s="27"/>
      <c r="H47" s="27"/>
      <c r="I47" s="27"/>
      <c r="J47" s="27"/>
      <c r="K47" s="27"/>
      <c r="L47" s="27"/>
      <c r="M47" s="27"/>
      <c r="N47" s="27"/>
      <c r="O47" s="27"/>
      <c r="P47" s="27"/>
      <c r="Q47" s="27"/>
      <c r="R47" s="27"/>
      <c r="S47" s="27"/>
      <c r="T47" s="27"/>
      <c r="U47" s="27"/>
      <c r="V47" s="27"/>
      <c r="W47" s="27"/>
      <c r="X47" s="27"/>
      <c r="Y47" s="27"/>
    </row>
    <row r="48" spans="1:25" x14ac:dyDescent="0.25">
      <c r="A48" s="28"/>
      <c r="B48" s="27"/>
      <c r="C48" s="27"/>
      <c r="D48" s="27"/>
      <c r="E48" s="27"/>
      <c r="F48" s="27"/>
      <c r="G48" s="27"/>
      <c r="H48" s="27"/>
      <c r="I48" s="27"/>
      <c r="J48" s="27"/>
      <c r="K48" s="27"/>
      <c r="L48" s="27"/>
      <c r="M48" s="27"/>
      <c r="N48" s="27"/>
      <c r="O48" s="27"/>
      <c r="P48" s="27"/>
      <c r="Q48" s="27"/>
      <c r="R48" s="27"/>
      <c r="S48" s="27"/>
      <c r="T48" s="27"/>
      <c r="U48" s="27"/>
      <c r="V48" s="27"/>
      <c r="W48" s="27"/>
      <c r="X48" s="27"/>
      <c r="Y48" s="27"/>
    </row>
    <row r="49" spans="1:25" x14ac:dyDescent="0.25">
      <c r="A49" s="28"/>
      <c r="B49" s="27"/>
      <c r="C49" s="27"/>
      <c r="D49" s="27"/>
      <c r="E49" s="27"/>
      <c r="F49" s="27"/>
      <c r="G49" s="27"/>
      <c r="H49" s="27"/>
      <c r="I49" s="27"/>
      <c r="J49" s="27"/>
      <c r="K49" s="27"/>
      <c r="L49" s="27"/>
      <c r="M49" s="27"/>
      <c r="N49" s="27"/>
      <c r="O49" s="27"/>
      <c r="P49" s="27"/>
      <c r="Q49" s="27"/>
      <c r="R49" s="27"/>
      <c r="S49" s="27"/>
      <c r="T49" s="27"/>
      <c r="U49" s="27"/>
      <c r="V49" s="27"/>
      <c r="W49" s="27"/>
      <c r="X49" s="27"/>
      <c r="Y49" s="27"/>
    </row>
    <row r="50" spans="1:25" x14ac:dyDescent="0.25">
      <c r="A50" s="28"/>
      <c r="B50" s="27"/>
      <c r="C50" s="27"/>
      <c r="D50" s="27"/>
      <c r="E50" s="27"/>
      <c r="F50" s="27"/>
      <c r="G50" s="27"/>
      <c r="H50" s="27"/>
      <c r="I50" s="27"/>
      <c r="J50" s="27"/>
      <c r="K50" s="27"/>
      <c r="L50" s="27"/>
      <c r="M50" s="27"/>
      <c r="N50" s="27"/>
      <c r="O50" s="27"/>
      <c r="P50" s="27"/>
      <c r="Q50" s="27"/>
      <c r="R50" s="27"/>
      <c r="S50" s="27"/>
      <c r="T50" s="27"/>
      <c r="U50" s="27"/>
      <c r="V50" s="27"/>
      <c r="W50" s="27"/>
      <c r="X50" s="27"/>
      <c r="Y50" s="27"/>
    </row>
    <row r="51" spans="1:25" x14ac:dyDescent="0.25">
      <c r="A51" s="28"/>
      <c r="B51" s="27"/>
      <c r="C51" s="27"/>
      <c r="D51" s="27"/>
      <c r="E51" s="27"/>
      <c r="F51" s="27"/>
      <c r="G51" s="27"/>
      <c r="H51" s="27"/>
      <c r="I51" s="27"/>
      <c r="J51" s="27"/>
      <c r="K51" s="27"/>
      <c r="L51" s="27"/>
      <c r="M51" s="27"/>
      <c r="N51" s="27"/>
      <c r="O51" s="27"/>
      <c r="P51" s="27"/>
      <c r="Q51" s="27"/>
      <c r="R51" s="27"/>
      <c r="S51" s="27"/>
      <c r="T51" s="27"/>
      <c r="U51" s="27"/>
      <c r="V51" s="27"/>
      <c r="W51" s="27"/>
      <c r="X51" s="27"/>
      <c r="Y51" s="27"/>
    </row>
    <row r="52" spans="1:25" x14ac:dyDescent="0.25">
      <c r="A52" s="28"/>
      <c r="B52" s="27"/>
      <c r="C52" s="27"/>
      <c r="D52" s="27"/>
      <c r="E52" s="27"/>
      <c r="F52" s="27"/>
      <c r="G52" s="27"/>
      <c r="H52" s="27"/>
      <c r="I52" s="27"/>
      <c r="J52" s="27"/>
      <c r="K52" s="27"/>
      <c r="L52" s="27"/>
      <c r="M52" s="27"/>
      <c r="N52" s="27"/>
      <c r="O52" s="27"/>
      <c r="P52" s="27"/>
      <c r="Q52" s="27"/>
      <c r="R52" s="27"/>
      <c r="S52" s="27"/>
      <c r="T52" s="27"/>
      <c r="U52" s="27"/>
      <c r="V52" s="27"/>
      <c r="W52" s="27"/>
      <c r="X52" s="27"/>
      <c r="Y52" s="27"/>
    </row>
    <row r="53" spans="1:25" x14ac:dyDescent="0.25">
      <c r="A53" s="28"/>
      <c r="B53" s="27"/>
      <c r="C53" s="27"/>
      <c r="D53" s="27"/>
      <c r="E53" s="27"/>
      <c r="F53" s="27"/>
      <c r="G53" s="27"/>
      <c r="H53" s="27"/>
      <c r="I53" s="27"/>
      <c r="J53" s="27"/>
      <c r="K53" s="27"/>
      <c r="L53" s="27"/>
      <c r="M53" s="27"/>
      <c r="N53" s="27"/>
      <c r="O53" s="27"/>
      <c r="P53" s="27"/>
      <c r="Q53" s="27"/>
      <c r="R53" s="27"/>
      <c r="S53" s="27"/>
      <c r="T53" s="27"/>
      <c r="U53" s="27"/>
      <c r="V53" s="27"/>
      <c r="W53" s="27"/>
      <c r="X53" s="27"/>
      <c r="Y53" s="27"/>
    </row>
    <row r="54" spans="1:25" x14ac:dyDescent="0.25">
      <c r="A54" s="28"/>
      <c r="B54" s="27"/>
      <c r="C54" s="27"/>
      <c r="D54" s="27"/>
      <c r="E54" s="27"/>
      <c r="F54" s="27"/>
      <c r="G54" s="27"/>
      <c r="H54" s="27"/>
      <c r="I54" s="27"/>
      <c r="J54" s="27"/>
      <c r="K54" s="27"/>
      <c r="L54" s="27"/>
      <c r="M54" s="27"/>
      <c r="N54" s="27"/>
      <c r="O54" s="27"/>
      <c r="P54" s="27"/>
      <c r="Q54" s="27"/>
      <c r="R54" s="27"/>
      <c r="S54" s="27"/>
      <c r="T54" s="27"/>
      <c r="U54" s="27"/>
      <c r="V54" s="27"/>
      <c r="W54" s="27"/>
      <c r="X54" s="27"/>
      <c r="Y54" s="27"/>
    </row>
    <row r="55" spans="1:25" x14ac:dyDescent="0.25">
      <c r="A55" s="28"/>
      <c r="B55" s="27"/>
      <c r="C55" s="27"/>
      <c r="D55" s="27"/>
      <c r="E55" s="27"/>
      <c r="F55" s="27"/>
      <c r="G55" s="27"/>
      <c r="H55" s="27"/>
      <c r="I55" s="27"/>
      <c r="J55" s="27"/>
      <c r="K55" s="27"/>
      <c r="L55" s="27"/>
      <c r="M55" s="27"/>
      <c r="N55" s="27"/>
      <c r="O55" s="27"/>
      <c r="P55" s="27"/>
      <c r="Q55" s="27"/>
      <c r="R55" s="27"/>
      <c r="S55" s="27"/>
      <c r="T55" s="27"/>
      <c r="U55" s="27"/>
      <c r="V55" s="27"/>
      <c r="W55" s="27"/>
      <c r="X55" s="27"/>
      <c r="Y55" s="27"/>
    </row>
    <row r="56" spans="1:25" x14ac:dyDescent="0.25">
      <c r="A56" s="28"/>
      <c r="B56" s="27"/>
      <c r="C56" s="27"/>
      <c r="D56" s="27"/>
      <c r="E56" s="27"/>
      <c r="F56" s="27"/>
      <c r="G56" s="27"/>
      <c r="H56" s="27"/>
      <c r="I56" s="27"/>
      <c r="J56" s="27"/>
      <c r="K56" s="27"/>
      <c r="L56" s="27"/>
      <c r="M56" s="27"/>
      <c r="N56" s="27"/>
      <c r="O56" s="27"/>
      <c r="P56" s="27"/>
      <c r="Q56" s="27"/>
      <c r="R56" s="27"/>
      <c r="S56" s="27"/>
      <c r="T56" s="27"/>
      <c r="U56" s="27"/>
      <c r="V56" s="27"/>
      <c r="W56" s="27"/>
      <c r="X56" s="27"/>
      <c r="Y56" s="27"/>
    </row>
    <row r="57" spans="1:25" x14ac:dyDescent="0.25">
      <c r="A57" s="28"/>
      <c r="B57" s="27"/>
      <c r="C57" s="27"/>
      <c r="D57" s="27"/>
      <c r="E57" s="27"/>
      <c r="F57" s="27"/>
      <c r="G57" s="27"/>
      <c r="H57" s="27"/>
      <c r="I57" s="27"/>
      <c r="J57" s="27"/>
      <c r="K57" s="27"/>
      <c r="L57" s="27"/>
      <c r="M57" s="27"/>
      <c r="N57" s="27"/>
      <c r="O57" s="27"/>
      <c r="P57" s="27"/>
      <c r="Q57" s="27"/>
      <c r="R57" s="27"/>
      <c r="S57" s="27"/>
      <c r="T57" s="27"/>
      <c r="U57" s="27"/>
      <c r="V57" s="27"/>
      <c r="W57" s="27"/>
      <c r="X57" s="27"/>
      <c r="Y57" s="27"/>
    </row>
    <row r="58" spans="1:25" x14ac:dyDescent="0.25">
      <c r="A58" s="28"/>
      <c r="B58" s="27"/>
      <c r="C58" s="27"/>
      <c r="D58" s="27"/>
      <c r="E58" s="27"/>
      <c r="F58" s="27"/>
      <c r="G58" s="27"/>
      <c r="H58" s="27"/>
      <c r="I58" s="27"/>
      <c r="J58" s="27"/>
      <c r="K58" s="27"/>
      <c r="L58" s="27"/>
      <c r="M58" s="27"/>
      <c r="N58" s="27"/>
      <c r="O58" s="27"/>
      <c r="P58" s="27"/>
      <c r="Q58" s="27"/>
      <c r="R58" s="27"/>
      <c r="S58" s="27"/>
      <c r="T58" s="27"/>
      <c r="U58" s="27"/>
      <c r="V58" s="27"/>
      <c r="W58" s="27"/>
      <c r="X58" s="27"/>
      <c r="Y58" s="27"/>
    </row>
    <row r="59" spans="1:25" x14ac:dyDescent="0.25">
      <c r="A59" s="28"/>
      <c r="B59" s="27"/>
      <c r="C59" s="27"/>
      <c r="D59" s="27"/>
      <c r="E59" s="27"/>
      <c r="F59" s="27"/>
      <c r="G59" s="27"/>
      <c r="H59" s="27"/>
      <c r="I59" s="27"/>
      <c r="J59" s="27"/>
      <c r="K59" s="27"/>
      <c r="L59" s="27"/>
      <c r="M59" s="27"/>
      <c r="N59" s="27"/>
      <c r="O59" s="27"/>
      <c r="P59" s="27"/>
      <c r="Q59" s="27"/>
      <c r="R59" s="27"/>
      <c r="S59" s="27"/>
      <c r="T59" s="27"/>
      <c r="U59" s="27"/>
      <c r="V59" s="27"/>
      <c r="W59" s="27"/>
      <c r="X59" s="27"/>
      <c r="Y59" s="27"/>
    </row>
    <row r="60" spans="1:25" x14ac:dyDescent="0.25">
      <c r="A60" s="28"/>
      <c r="B60" s="27"/>
      <c r="C60" s="27"/>
      <c r="D60" s="27"/>
      <c r="E60" s="27"/>
      <c r="F60" s="27"/>
      <c r="G60" s="27"/>
      <c r="H60" s="27"/>
      <c r="I60" s="27"/>
      <c r="J60" s="27"/>
      <c r="K60" s="27"/>
      <c r="L60" s="27"/>
      <c r="M60" s="27"/>
      <c r="N60" s="27"/>
      <c r="O60" s="27"/>
      <c r="P60" s="27"/>
      <c r="Q60" s="27"/>
      <c r="R60" s="27"/>
      <c r="S60" s="27"/>
      <c r="T60" s="27"/>
      <c r="U60" s="27"/>
      <c r="V60" s="27"/>
      <c r="W60" s="27"/>
      <c r="X60" s="27"/>
      <c r="Y60" s="27"/>
    </row>
    <row r="61" spans="1:25" x14ac:dyDescent="0.25">
      <c r="A61" s="28"/>
      <c r="B61" s="27"/>
      <c r="C61" s="27"/>
      <c r="D61" s="27"/>
      <c r="E61" s="27"/>
      <c r="F61" s="27"/>
      <c r="G61" s="27"/>
      <c r="H61" s="27"/>
      <c r="I61" s="27"/>
      <c r="J61" s="27"/>
      <c r="K61" s="27"/>
      <c r="L61" s="27"/>
      <c r="M61" s="27"/>
      <c r="N61" s="27"/>
      <c r="O61" s="27"/>
      <c r="P61" s="27"/>
      <c r="Q61" s="27"/>
      <c r="R61" s="27"/>
      <c r="S61" s="27"/>
      <c r="T61" s="27"/>
      <c r="U61" s="27"/>
      <c r="V61" s="27"/>
      <c r="W61" s="27"/>
      <c r="X61" s="27"/>
      <c r="Y61" s="27"/>
    </row>
    <row r="62" spans="1:25" x14ac:dyDescent="0.25">
      <c r="A62" s="28"/>
      <c r="B62" s="27"/>
      <c r="C62" s="27"/>
      <c r="D62" s="27"/>
      <c r="E62" s="27"/>
      <c r="F62" s="27"/>
      <c r="G62" s="27"/>
      <c r="H62" s="27"/>
      <c r="I62" s="27"/>
      <c r="J62" s="27"/>
      <c r="K62" s="27"/>
      <c r="L62" s="27"/>
      <c r="M62" s="27"/>
      <c r="N62" s="27"/>
      <c r="O62" s="27"/>
      <c r="P62" s="27"/>
      <c r="Q62" s="27"/>
      <c r="R62" s="27"/>
      <c r="S62" s="27"/>
      <c r="T62" s="27"/>
      <c r="U62" s="27"/>
      <c r="V62" s="27"/>
      <c r="W62" s="27"/>
      <c r="X62" s="27"/>
      <c r="Y62" s="27"/>
    </row>
    <row r="63" spans="1:25" x14ac:dyDescent="0.25">
      <c r="A63" s="28"/>
      <c r="B63" s="27"/>
      <c r="C63" s="27"/>
      <c r="D63" s="27"/>
      <c r="E63" s="27"/>
      <c r="F63" s="27"/>
      <c r="G63" s="27"/>
      <c r="H63" s="27"/>
      <c r="I63" s="27"/>
      <c r="J63" s="27"/>
      <c r="K63" s="27"/>
      <c r="L63" s="27"/>
      <c r="M63" s="27"/>
      <c r="N63" s="27"/>
      <c r="O63" s="27"/>
      <c r="P63" s="27"/>
      <c r="Q63" s="27"/>
      <c r="R63" s="27"/>
      <c r="S63" s="27"/>
      <c r="T63" s="27"/>
      <c r="U63" s="27"/>
      <c r="V63" s="27"/>
      <c r="W63" s="27"/>
      <c r="X63" s="27"/>
      <c r="Y63" s="27"/>
    </row>
    <row r="64" spans="1:25" x14ac:dyDescent="0.25">
      <c r="A64" s="28"/>
      <c r="B64" s="27"/>
      <c r="C64" s="27"/>
      <c r="D64" s="27"/>
      <c r="E64" s="27"/>
      <c r="F64" s="27"/>
      <c r="G64" s="27"/>
      <c r="H64" s="27"/>
      <c r="I64" s="27"/>
      <c r="J64" s="27"/>
      <c r="K64" s="27"/>
      <c r="L64" s="27"/>
      <c r="M64" s="27"/>
      <c r="N64" s="27"/>
      <c r="O64" s="27"/>
      <c r="P64" s="27"/>
      <c r="Q64" s="27"/>
      <c r="R64" s="27"/>
      <c r="S64" s="27"/>
      <c r="T64" s="27"/>
      <c r="U64" s="27"/>
      <c r="V64" s="27"/>
      <c r="W64" s="27"/>
      <c r="X64" s="27"/>
      <c r="Y64" s="27"/>
    </row>
    <row r="65" spans="1:25" x14ac:dyDescent="0.25">
      <c r="A65" s="28"/>
      <c r="B65" s="27"/>
      <c r="C65" s="27"/>
      <c r="D65" s="27"/>
      <c r="E65" s="27"/>
      <c r="F65" s="27"/>
      <c r="G65" s="27"/>
      <c r="H65" s="27"/>
      <c r="I65" s="27"/>
      <c r="J65" s="27"/>
      <c r="K65" s="27"/>
      <c r="L65" s="27"/>
      <c r="M65" s="27"/>
      <c r="N65" s="27"/>
      <c r="O65" s="27"/>
      <c r="P65" s="27"/>
      <c r="Q65" s="27"/>
      <c r="R65" s="27"/>
      <c r="S65" s="27"/>
      <c r="T65" s="27"/>
      <c r="U65" s="27"/>
      <c r="V65" s="27"/>
      <c r="W65" s="27"/>
      <c r="X65" s="27"/>
      <c r="Y65" s="27"/>
    </row>
    <row r="66" spans="1:25" x14ac:dyDescent="0.25">
      <c r="A66" s="28"/>
      <c r="B66" s="27"/>
      <c r="C66" s="27"/>
      <c r="D66" s="27"/>
      <c r="E66" s="27"/>
      <c r="F66" s="27"/>
      <c r="G66" s="27"/>
      <c r="H66" s="27"/>
      <c r="I66" s="27"/>
      <c r="J66" s="27"/>
      <c r="K66" s="27"/>
      <c r="L66" s="27"/>
      <c r="M66" s="27"/>
      <c r="N66" s="27"/>
      <c r="O66" s="27"/>
      <c r="P66" s="27"/>
      <c r="Q66" s="27"/>
      <c r="R66" s="27"/>
      <c r="S66" s="27"/>
      <c r="T66" s="27"/>
      <c r="U66" s="27"/>
      <c r="V66" s="27"/>
      <c r="W66" s="27"/>
      <c r="X66" s="27"/>
      <c r="Y66" s="27"/>
    </row>
    <row r="67" spans="1:25" x14ac:dyDescent="0.25">
      <c r="A67" s="28"/>
      <c r="B67" s="27"/>
      <c r="C67" s="27"/>
      <c r="D67" s="27"/>
      <c r="E67" s="27"/>
      <c r="F67" s="27"/>
      <c r="G67" s="27"/>
      <c r="H67" s="27"/>
      <c r="I67" s="27"/>
      <c r="J67" s="27"/>
      <c r="K67" s="27"/>
      <c r="L67" s="27"/>
      <c r="M67" s="27"/>
      <c r="N67" s="27"/>
      <c r="O67" s="27"/>
      <c r="P67" s="27"/>
      <c r="Q67" s="27"/>
      <c r="R67" s="27"/>
      <c r="S67" s="27"/>
      <c r="T67" s="27"/>
      <c r="U67" s="27"/>
      <c r="V67" s="27"/>
      <c r="W67" s="27"/>
      <c r="X67" s="27"/>
      <c r="Y67" s="27"/>
    </row>
    <row r="68" spans="1:25" x14ac:dyDescent="0.25">
      <c r="A68" s="28"/>
      <c r="B68" s="27"/>
      <c r="C68" s="27"/>
      <c r="D68" s="27"/>
      <c r="E68" s="27"/>
      <c r="F68" s="27"/>
      <c r="G68" s="27"/>
      <c r="H68" s="27"/>
      <c r="I68" s="27"/>
      <c r="J68" s="27"/>
      <c r="K68" s="27"/>
      <c r="L68" s="27"/>
      <c r="M68" s="27"/>
      <c r="N68" s="27"/>
      <c r="O68" s="27"/>
      <c r="P68" s="27"/>
      <c r="Q68" s="27"/>
      <c r="R68" s="27"/>
      <c r="S68" s="27"/>
      <c r="T68" s="27"/>
      <c r="U68" s="27"/>
      <c r="V68" s="27"/>
      <c r="W68" s="27"/>
      <c r="X68" s="27"/>
      <c r="Y68" s="27"/>
    </row>
    <row r="69" spans="1:25" x14ac:dyDescent="0.25">
      <c r="A69" s="28"/>
      <c r="B69" s="27"/>
      <c r="C69" s="27"/>
      <c r="D69" s="27"/>
      <c r="E69" s="27"/>
      <c r="F69" s="27"/>
      <c r="G69" s="27"/>
      <c r="H69" s="27"/>
      <c r="I69" s="27"/>
      <c r="J69" s="27"/>
      <c r="K69" s="27"/>
      <c r="L69" s="27"/>
      <c r="M69" s="27"/>
      <c r="N69" s="27"/>
      <c r="O69" s="27"/>
      <c r="P69" s="27"/>
      <c r="Q69" s="27"/>
      <c r="R69" s="27"/>
      <c r="S69" s="27"/>
      <c r="T69" s="27"/>
      <c r="U69" s="27"/>
      <c r="V69" s="27"/>
      <c r="W69" s="27"/>
      <c r="X69" s="27"/>
      <c r="Y69" s="27"/>
    </row>
    <row r="70" spans="1:25" x14ac:dyDescent="0.25">
      <c r="A70" s="28"/>
      <c r="B70" s="27"/>
      <c r="C70" s="27"/>
      <c r="D70" s="27"/>
      <c r="E70" s="27"/>
      <c r="F70" s="27"/>
      <c r="G70" s="27"/>
      <c r="H70" s="27"/>
      <c r="I70" s="27"/>
      <c r="J70" s="27"/>
      <c r="K70" s="27"/>
      <c r="L70" s="27"/>
      <c r="M70" s="27"/>
      <c r="N70" s="27"/>
      <c r="O70" s="27"/>
      <c r="P70" s="27"/>
      <c r="Q70" s="27"/>
      <c r="R70" s="27"/>
      <c r="S70" s="27"/>
      <c r="T70" s="27"/>
      <c r="U70" s="27"/>
      <c r="V70" s="27"/>
      <c r="W70" s="27"/>
      <c r="X70" s="27"/>
      <c r="Y70" s="27"/>
    </row>
    <row r="71" spans="1:25" x14ac:dyDescent="0.25">
      <c r="A71" s="28"/>
      <c r="B71" s="27"/>
      <c r="C71" s="27"/>
      <c r="D71" s="27"/>
      <c r="E71" s="27"/>
      <c r="F71" s="27"/>
      <c r="G71" s="27"/>
      <c r="H71" s="27"/>
      <c r="I71" s="27"/>
      <c r="J71" s="27"/>
      <c r="K71" s="27"/>
      <c r="L71" s="27"/>
      <c r="M71" s="27"/>
      <c r="N71" s="27"/>
      <c r="O71" s="27"/>
      <c r="P71" s="27"/>
      <c r="Q71" s="27"/>
      <c r="R71" s="27"/>
      <c r="S71" s="27"/>
      <c r="T71" s="27"/>
      <c r="U71" s="27"/>
      <c r="V71" s="27"/>
      <c r="W71" s="27"/>
      <c r="X71" s="27"/>
      <c r="Y71" s="27"/>
    </row>
    <row r="72" spans="1:25" x14ac:dyDescent="0.25">
      <c r="A72" s="28"/>
      <c r="B72" s="27"/>
      <c r="C72" s="27"/>
      <c r="D72" s="27"/>
      <c r="E72" s="27"/>
      <c r="F72" s="27"/>
      <c r="G72" s="27"/>
      <c r="H72" s="27"/>
      <c r="I72" s="27"/>
      <c r="J72" s="27"/>
      <c r="K72" s="27"/>
      <c r="L72" s="27"/>
      <c r="M72" s="27"/>
      <c r="N72" s="27"/>
      <c r="O72" s="27"/>
      <c r="P72" s="27"/>
      <c r="Q72" s="27"/>
      <c r="R72" s="27"/>
      <c r="S72" s="27"/>
      <c r="T72" s="27"/>
      <c r="U72" s="27"/>
      <c r="V72" s="27"/>
      <c r="W72" s="27"/>
      <c r="X72" s="27"/>
      <c r="Y72" s="27"/>
    </row>
    <row r="73" spans="1:25" x14ac:dyDescent="0.25">
      <c r="A73" s="28"/>
      <c r="B73" s="27"/>
      <c r="C73" s="27"/>
      <c r="D73" s="27"/>
      <c r="E73" s="27"/>
      <c r="F73" s="27"/>
      <c r="G73" s="27"/>
      <c r="H73" s="27"/>
      <c r="I73" s="27"/>
      <c r="J73" s="27"/>
      <c r="K73" s="27"/>
      <c r="L73" s="27"/>
      <c r="M73" s="27"/>
      <c r="N73" s="27"/>
      <c r="O73" s="27"/>
      <c r="P73" s="27"/>
      <c r="Q73" s="27"/>
      <c r="R73" s="27"/>
      <c r="S73" s="27"/>
      <c r="T73" s="27"/>
      <c r="U73" s="27"/>
      <c r="V73" s="27"/>
      <c r="W73" s="27"/>
      <c r="X73" s="27"/>
      <c r="Y73" s="27"/>
    </row>
    <row r="74" spans="1:25" x14ac:dyDescent="0.25">
      <c r="A74" s="28"/>
      <c r="B74" s="27"/>
      <c r="C74" s="27"/>
      <c r="D74" s="27"/>
      <c r="E74" s="27"/>
      <c r="F74" s="27"/>
      <c r="G74" s="27"/>
      <c r="H74" s="27"/>
      <c r="I74" s="27"/>
      <c r="J74" s="27"/>
      <c r="K74" s="27"/>
      <c r="L74" s="27"/>
      <c r="M74" s="27"/>
      <c r="N74" s="27"/>
      <c r="O74" s="27"/>
      <c r="P74" s="27"/>
      <c r="Q74" s="27"/>
      <c r="R74" s="27"/>
      <c r="S74" s="27"/>
      <c r="T74" s="27"/>
      <c r="U74" s="27"/>
      <c r="V74" s="27"/>
      <c r="W74" s="27"/>
      <c r="X74" s="27"/>
      <c r="Y74" s="27"/>
    </row>
    <row r="75" spans="1:25" x14ac:dyDescent="0.25">
      <c r="A75" s="28"/>
      <c r="B75" s="27"/>
      <c r="C75" s="27"/>
      <c r="D75" s="27"/>
      <c r="E75" s="27"/>
      <c r="F75" s="27"/>
      <c r="G75" s="27"/>
      <c r="H75" s="27"/>
      <c r="I75" s="27"/>
      <c r="J75" s="27"/>
      <c r="K75" s="27"/>
      <c r="L75" s="27"/>
      <c r="M75" s="27"/>
      <c r="N75" s="27"/>
      <c r="O75" s="27"/>
      <c r="P75" s="27"/>
      <c r="Q75" s="27"/>
      <c r="R75" s="27"/>
      <c r="S75" s="27"/>
      <c r="T75" s="27"/>
      <c r="U75" s="27"/>
      <c r="V75" s="27"/>
      <c r="W75" s="27"/>
      <c r="X75" s="27"/>
      <c r="Y75" s="27"/>
    </row>
    <row r="76" spans="1:25" x14ac:dyDescent="0.25">
      <c r="A76" s="28"/>
      <c r="B76" s="27"/>
      <c r="C76" s="27"/>
      <c r="D76" s="27"/>
      <c r="E76" s="27"/>
      <c r="F76" s="27"/>
      <c r="G76" s="27"/>
      <c r="H76" s="27"/>
      <c r="I76" s="27"/>
      <c r="J76" s="27"/>
      <c r="K76" s="27"/>
      <c r="L76" s="27"/>
      <c r="M76" s="27"/>
      <c r="N76" s="27"/>
      <c r="O76" s="27"/>
      <c r="P76" s="27"/>
      <c r="Q76" s="27"/>
      <c r="R76" s="27"/>
      <c r="S76" s="27"/>
      <c r="T76" s="27"/>
      <c r="U76" s="27"/>
      <c r="V76" s="27"/>
      <c r="W76" s="27"/>
      <c r="X76" s="27"/>
      <c r="Y76" s="27"/>
    </row>
    <row r="77" spans="1:25" x14ac:dyDescent="0.25">
      <c r="A77" s="28"/>
      <c r="B77" s="27"/>
      <c r="C77" s="27"/>
      <c r="D77" s="27"/>
      <c r="E77" s="27"/>
      <c r="F77" s="27"/>
      <c r="G77" s="27"/>
      <c r="H77" s="27"/>
      <c r="I77" s="27"/>
      <c r="J77" s="27"/>
      <c r="K77" s="27"/>
      <c r="L77" s="27"/>
      <c r="M77" s="27"/>
      <c r="N77" s="27"/>
      <c r="O77" s="27"/>
      <c r="P77" s="27"/>
      <c r="Q77" s="27"/>
      <c r="R77" s="27"/>
      <c r="S77" s="27"/>
      <c r="T77" s="27"/>
      <c r="U77" s="27"/>
      <c r="V77" s="27"/>
      <c r="W77" s="27"/>
      <c r="X77" s="27"/>
      <c r="Y77" s="27"/>
    </row>
    <row r="78" spans="1:25" x14ac:dyDescent="0.25">
      <c r="A78" s="28"/>
      <c r="B78" s="27"/>
      <c r="C78" s="27"/>
      <c r="D78" s="27"/>
      <c r="E78" s="27"/>
      <c r="F78" s="27"/>
      <c r="G78" s="27"/>
      <c r="H78" s="27"/>
      <c r="I78" s="27"/>
      <c r="J78" s="27"/>
      <c r="K78" s="27"/>
      <c r="L78" s="27"/>
      <c r="M78" s="27"/>
      <c r="N78" s="27"/>
      <c r="O78" s="27"/>
      <c r="P78" s="27"/>
      <c r="Q78" s="27"/>
      <c r="R78" s="27"/>
      <c r="S78" s="27"/>
      <c r="T78" s="27"/>
      <c r="U78" s="27"/>
      <c r="V78" s="27"/>
      <c r="W78" s="27"/>
      <c r="X78" s="27"/>
      <c r="Y78" s="27"/>
    </row>
    <row r="79" spans="1:25" x14ac:dyDescent="0.25">
      <c r="A79" s="28"/>
      <c r="B79" s="27"/>
      <c r="C79" s="27"/>
      <c r="D79" s="27"/>
      <c r="E79" s="27"/>
      <c r="F79" s="27"/>
      <c r="G79" s="27"/>
      <c r="H79" s="27"/>
      <c r="I79" s="27"/>
      <c r="J79" s="27"/>
      <c r="K79" s="27"/>
      <c r="L79" s="27"/>
      <c r="M79" s="27"/>
      <c r="N79" s="27"/>
      <c r="O79" s="27"/>
      <c r="P79" s="27"/>
      <c r="Q79" s="27"/>
      <c r="R79" s="27"/>
      <c r="S79" s="27"/>
      <c r="T79" s="27"/>
      <c r="U79" s="27"/>
      <c r="V79" s="27"/>
      <c r="W79" s="27"/>
      <c r="X79" s="27"/>
      <c r="Y79" s="27"/>
    </row>
    <row r="80" spans="1:25" x14ac:dyDescent="0.25">
      <c r="A80" s="28"/>
      <c r="B80" s="27"/>
      <c r="C80" s="27"/>
      <c r="D80" s="27"/>
      <c r="E80" s="27"/>
      <c r="F80" s="27"/>
      <c r="G80" s="27"/>
      <c r="H80" s="27"/>
      <c r="I80" s="27"/>
      <c r="J80" s="27"/>
      <c r="K80" s="27"/>
      <c r="L80" s="27"/>
      <c r="M80" s="27"/>
      <c r="N80" s="27"/>
      <c r="O80" s="27"/>
      <c r="P80" s="27"/>
      <c r="Q80" s="27"/>
      <c r="R80" s="27"/>
      <c r="S80" s="27"/>
      <c r="T80" s="27"/>
      <c r="U80" s="27"/>
      <c r="V80" s="27"/>
      <c r="W80" s="27"/>
      <c r="X80" s="27"/>
      <c r="Y80" s="27"/>
    </row>
    <row r="81" spans="1:25" x14ac:dyDescent="0.25">
      <c r="A81" s="28"/>
      <c r="B81" s="27"/>
      <c r="C81" s="27"/>
      <c r="D81" s="27"/>
      <c r="E81" s="27"/>
      <c r="F81" s="27"/>
      <c r="G81" s="27"/>
      <c r="H81" s="27"/>
      <c r="I81" s="27"/>
      <c r="J81" s="27"/>
      <c r="K81" s="27"/>
      <c r="L81" s="27"/>
      <c r="M81" s="27"/>
      <c r="N81" s="27"/>
      <c r="O81" s="27"/>
      <c r="P81" s="27"/>
      <c r="Q81" s="27"/>
      <c r="R81" s="27"/>
      <c r="S81" s="27"/>
      <c r="T81" s="27"/>
      <c r="U81" s="27"/>
      <c r="V81" s="27"/>
      <c r="W81" s="27"/>
      <c r="X81" s="27"/>
      <c r="Y81" s="27"/>
    </row>
    <row r="82" spans="1:25" x14ac:dyDescent="0.25">
      <c r="A82" s="28"/>
      <c r="B82" s="27"/>
      <c r="C82" s="27"/>
      <c r="D82" s="27"/>
      <c r="E82" s="27"/>
      <c r="F82" s="27"/>
      <c r="G82" s="27"/>
      <c r="H82" s="27"/>
      <c r="I82" s="27"/>
      <c r="J82" s="27"/>
      <c r="K82" s="27"/>
      <c r="L82" s="27"/>
      <c r="M82" s="27"/>
      <c r="N82" s="27"/>
      <c r="O82" s="27"/>
      <c r="P82" s="27"/>
      <c r="Q82" s="27"/>
      <c r="R82" s="27"/>
      <c r="S82" s="27"/>
      <c r="T82" s="27"/>
      <c r="U82" s="27"/>
      <c r="V82" s="27"/>
      <c r="W82" s="27"/>
      <c r="X82" s="27"/>
      <c r="Y82" s="27"/>
    </row>
    <row r="83" spans="1:25" x14ac:dyDescent="0.25">
      <c r="A83" s="28"/>
      <c r="B83" s="27"/>
      <c r="C83" s="27"/>
      <c r="D83" s="27"/>
      <c r="E83" s="27"/>
      <c r="F83" s="27"/>
      <c r="G83" s="27"/>
      <c r="H83" s="27"/>
      <c r="I83" s="27"/>
      <c r="J83" s="27"/>
      <c r="K83" s="27"/>
      <c r="L83" s="27"/>
      <c r="M83" s="27"/>
      <c r="N83" s="27"/>
      <c r="O83" s="27"/>
      <c r="P83" s="27"/>
      <c r="Q83" s="27"/>
      <c r="R83" s="27"/>
      <c r="S83" s="27"/>
      <c r="T83" s="27"/>
      <c r="U83" s="27"/>
      <c r="V83" s="27"/>
      <c r="W83" s="27"/>
      <c r="X83" s="27"/>
      <c r="Y83" s="27"/>
    </row>
    <row r="84" spans="1:25" x14ac:dyDescent="0.25">
      <c r="A84" s="28"/>
      <c r="B84" s="27"/>
      <c r="C84" s="27"/>
      <c r="D84" s="27"/>
      <c r="E84" s="27"/>
      <c r="F84" s="27"/>
      <c r="G84" s="27"/>
      <c r="H84" s="27"/>
      <c r="I84" s="27"/>
      <c r="J84" s="27"/>
      <c r="K84" s="27"/>
      <c r="L84" s="27"/>
      <c r="M84" s="27"/>
      <c r="N84" s="27"/>
      <c r="O84" s="27"/>
      <c r="P84" s="27"/>
      <c r="Q84" s="27"/>
      <c r="R84" s="27"/>
      <c r="S84" s="27"/>
      <c r="T84" s="27"/>
      <c r="U84" s="27"/>
      <c r="V84" s="27"/>
      <c r="W84" s="27"/>
      <c r="X84" s="27"/>
      <c r="Y84" s="27"/>
    </row>
    <row r="85" spans="1:25" x14ac:dyDescent="0.25">
      <c r="A85" s="28"/>
      <c r="B85" s="27"/>
      <c r="C85" s="27"/>
      <c r="D85" s="27"/>
      <c r="E85" s="27"/>
      <c r="F85" s="27"/>
      <c r="G85" s="27"/>
      <c r="H85" s="27"/>
      <c r="I85" s="27"/>
      <c r="J85" s="27"/>
      <c r="K85" s="27"/>
      <c r="L85" s="27"/>
      <c r="M85" s="27"/>
      <c r="N85" s="27"/>
      <c r="O85" s="27"/>
      <c r="P85" s="27"/>
      <c r="Q85" s="27"/>
      <c r="R85" s="27"/>
      <c r="S85" s="27"/>
      <c r="T85" s="27"/>
      <c r="U85" s="27"/>
      <c r="V85" s="27"/>
      <c r="W85" s="27"/>
      <c r="X85" s="27"/>
      <c r="Y85" s="27"/>
    </row>
    <row r="86" spans="1:25" x14ac:dyDescent="0.25">
      <c r="A86" s="28"/>
      <c r="B86" s="27"/>
      <c r="C86" s="27"/>
      <c r="D86" s="27"/>
      <c r="E86" s="27"/>
      <c r="F86" s="27"/>
      <c r="G86" s="27"/>
      <c r="H86" s="27"/>
      <c r="I86" s="27"/>
      <c r="J86" s="27"/>
      <c r="K86" s="27"/>
      <c r="L86" s="27"/>
      <c r="M86" s="27"/>
      <c r="N86" s="27"/>
      <c r="O86" s="27"/>
      <c r="P86" s="27"/>
      <c r="Q86" s="27"/>
      <c r="R86" s="27"/>
      <c r="S86" s="27"/>
      <c r="T86" s="27"/>
      <c r="U86" s="27"/>
      <c r="V86" s="27"/>
      <c r="W86" s="27"/>
      <c r="X86" s="27"/>
      <c r="Y86" s="27"/>
    </row>
    <row r="87" spans="1:25" x14ac:dyDescent="0.25">
      <c r="A87" s="28"/>
      <c r="B87" s="27"/>
      <c r="C87" s="27"/>
      <c r="D87" s="27"/>
      <c r="E87" s="27"/>
      <c r="F87" s="27"/>
      <c r="G87" s="27"/>
      <c r="H87" s="27"/>
      <c r="I87" s="27"/>
      <c r="J87" s="27"/>
      <c r="K87" s="27"/>
      <c r="L87" s="27"/>
      <c r="M87" s="27"/>
      <c r="N87" s="27"/>
      <c r="O87" s="27"/>
      <c r="P87" s="27"/>
      <c r="Q87" s="27"/>
      <c r="R87" s="27"/>
      <c r="S87" s="27"/>
      <c r="T87" s="27"/>
      <c r="U87" s="27"/>
      <c r="V87" s="27"/>
      <c r="W87" s="27"/>
      <c r="X87" s="27"/>
      <c r="Y87" s="27"/>
    </row>
    <row r="88" spans="1:25" x14ac:dyDescent="0.25">
      <c r="A88" s="28"/>
      <c r="B88" s="27"/>
      <c r="C88" s="27"/>
      <c r="D88" s="27"/>
      <c r="E88" s="27"/>
      <c r="F88" s="27"/>
      <c r="G88" s="27"/>
      <c r="H88" s="27"/>
      <c r="I88" s="27"/>
      <c r="J88" s="27"/>
      <c r="K88" s="27"/>
      <c r="L88" s="27"/>
      <c r="M88" s="27"/>
      <c r="N88" s="27"/>
      <c r="O88" s="27"/>
      <c r="P88" s="27"/>
      <c r="Q88" s="27"/>
      <c r="R88" s="27"/>
      <c r="S88" s="27"/>
      <c r="T88" s="27"/>
      <c r="U88" s="27"/>
      <c r="V88" s="27"/>
      <c r="W88" s="27"/>
      <c r="X88" s="27"/>
      <c r="Y88" s="27"/>
    </row>
    <row r="89" spans="1:25" x14ac:dyDescent="0.25">
      <c r="A89" s="28"/>
      <c r="B89" s="27"/>
      <c r="C89" s="27"/>
      <c r="D89" s="27"/>
      <c r="E89" s="27"/>
      <c r="F89" s="27"/>
      <c r="G89" s="27"/>
      <c r="H89" s="27"/>
      <c r="I89" s="27"/>
      <c r="J89" s="27"/>
      <c r="K89" s="27"/>
      <c r="L89" s="27"/>
      <c r="M89" s="27"/>
      <c r="N89" s="27"/>
      <c r="O89" s="27"/>
      <c r="P89" s="27"/>
      <c r="Q89" s="27"/>
      <c r="R89" s="27"/>
      <c r="S89" s="27"/>
      <c r="T89" s="27"/>
      <c r="U89" s="27"/>
      <c r="V89" s="27"/>
      <c r="W89" s="27"/>
      <c r="X89" s="27"/>
      <c r="Y89" s="27"/>
    </row>
    <row r="90" spans="1:25" x14ac:dyDescent="0.25">
      <c r="A90" s="28"/>
      <c r="B90" s="27"/>
      <c r="C90" s="27"/>
      <c r="D90" s="27"/>
      <c r="E90" s="27"/>
      <c r="F90" s="27"/>
      <c r="G90" s="27"/>
      <c r="H90" s="27"/>
      <c r="I90" s="27"/>
      <c r="J90" s="27"/>
      <c r="K90" s="27"/>
      <c r="L90" s="27"/>
      <c r="M90" s="27"/>
      <c r="N90" s="27"/>
      <c r="O90" s="27"/>
      <c r="P90" s="27"/>
      <c r="Q90" s="27"/>
      <c r="R90" s="27"/>
      <c r="S90" s="27"/>
      <c r="T90" s="27"/>
      <c r="U90" s="27"/>
      <c r="V90" s="27"/>
      <c r="W90" s="27"/>
      <c r="X90" s="27"/>
      <c r="Y90" s="27"/>
    </row>
    <row r="91" spans="1:25" x14ac:dyDescent="0.25">
      <c r="A91" s="28"/>
      <c r="B91" s="27"/>
      <c r="C91" s="27"/>
      <c r="D91" s="27"/>
      <c r="E91" s="27"/>
      <c r="F91" s="27"/>
      <c r="G91" s="27"/>
      <c r="H91" s="27"/>
      <c r="I91" s="27"/>
      <c r="J91" s="27"/>
      <c r="K91" s="27"/>
      <c r="L91" s="27"/>
      <c r="M91" s="27"/>
      <c r="N91" s="27"/>
      <c r="O91" s="27"/>
      <c r="P91" s="27"/>
      <c r="Q91" s="27"/>
      <c r="R91" s="27"/>
      <c r="S91" s="27"/>
      <c r="T91" s="27"/>
      <c r="U91" s="27"/>
      <c r="V91" s="27"/>
      <c r="W91" s="27"/>
      <c r="X91" s="27"/>
      <c r="Y91" s="27"/>
    </row>
    <row r="92" spans="1:25" x14ac:dyDescent="0.25">
      <c r="A92" s="28"/>
      <c r="B92" s="27"/>
      <c r="C92" s="27"/>
      <c r="D92" s="27"/>
      <c r="E92" s="27"/>
      <c r="F92" s="27"/>
      <c r="G92" s="27"/>
      <c r="H92" s="27"/>
      <c r="I92" s="27"/>
      <c r="J92" s="27"/>
      <c r="K92" s="27"/>
      <c r="L92" s="27"/>
      <c r="M92" s="27"/>
      <c r="N92" s="27"/>
      <c r="O92" s="27"/>
      <c r="P92" s="27"/>
      <c r="Q92" s="27"/>
      <c r="R92" s="27"/>
      <c r="S92" s="27"/>
      <c r="T92" s="27"/>
      <c r="U92" s="27"/>
      <c r="V92" s="27"/>
      <c r="W92" s="27"/>
      <c r="X92" s="27"/>
      <c r="Y92" s="27"/>
    </row>
    <row r="93" spans="1:25" x14ac:dyDescent="0.25">
      <c r="A93" s="28"/>
      <c r="B93" s="27"/>
      <c r="C93" s="27"/>
      <c r="D93" s="27"/>
      <c r="E93" s="27"/>
      <c r="F93" s="27"/>
      <c r="G93" s="27"/>
      <c r="H93" s="27"/>
      <c r="I93" s="27"/>
      <c r="J93" s="27"/>
      <c r="K93" s="27"/>
      <c r="L93" s="27"/>
      <c r="M93" s="27"/>
      <c r="N93" s="27"/>
      <c r="O93" s="27"/>
      <c r="P93" s="27"/>
      <c r="Q93" s="27"/>
      <c r="R93" s="27"/>
      <c r="S93" s="27"/>
      <c r="T93" s="27"/>
      <c r="U93" s="27"/>
      <c r="V93" s="27"/>
      <c r="W93" s="27"/>
      <c r="X93" s="27"/>
      <c r="Y93" s="27"/>
    </row>
    <row r="94" spans="1:25" x14ac:dyDescent="0.25">
      <c r="A94" s="28"/>
      <c r="B94" s="27"/>
      <c r="C94" s="27"/>
      <c r="D94" s="27"/>
      <c r="E94" s="27"/>
      <c r="F94" s="27"/>
      <c r="G94" s="27"/>
      <c r="H94" s="27"/>
      <c r="I94" s="27"/>
      <c r="J94" s="27"/>
      <c r="K94" s="27"/>
      <c r="L94" s="27"/>
      <c r="M94" s="27"/>
      <c r="N94" s="27"/>
      <c r="O94" s="27"/>
      <c r="P94" s="27"/>
      <c r="Q94" s="27"/>
      <c r="R94" s="27"/>
      <c r="S94" s="27"/>
      <c r="T94" s="27"/>
      <c r="U94" s="27"/>
      <c r="V94" s="27"/>
      <c r="W94" s="27"/>
      <c r="X94" s="27"/>
      <c r="Y94" s="27"/>
    </row>
    <row r="95" spans="1:25" x14ac:dyDescent="0.25">
      <c r="A95" s="28"/>
      <c r="B95" s="27"/>
      <c r="C95" s="27"/>
      <c r="D95" s="27"/>
      <c r="E95" s="27"/>
      <c r="F95" s="27"/>
      <c r="G95" s="27"/>
      <c r="H95" s="27"/>
      <c r="I95" s="27"/>
      <c r="J95" s="27"/>
      <c r="K95" s="27"/>
      <c r="L95" s="27"/>
      <c r="M95" s="27"/>
      <c r="N95" s="27"/>
      <c r="O95" s="27"/>
      <c r="P95" s="27"/>
      <c r="Q95" s="27"/>
      <c r="R95" s="27"/>
      <c r="S95" s="27"/>
      <c r="T95" s="27"/>
      <c r="U95" s="27"/>
      <c r="V95" s="27"/>
      <c r="W95" s="27"/>
      <c r="X95" s="27"/>
      <c r="Y95" s="27"/>
    </row>
    <row r="96" spans="1:25" x14ac:dyDescent="0.25">
      <c r="A96" s="28"/>
      <c r="B96" s="27"/>
      <c r="C96" s="27"/>
      <c r="D96" s="27"/>
      <c r="E96" s="27"/>
      <c r="F96" s="27"/>
      <c r="G96" s="27"/>
      <c r="H96" s="27"/>
      <c r="I96" s="27"/>
      <c r="J96" s="27"/>
      <c r="K96" s="27"/>
      <c r="L96" s="27"/>
      <c r="M96" s="27"/>
      <c r="N96" s="27"/>
      <c r="O96" s="27"/>
      <c r="P96" s="27"/>
      <c r="Q96" s="27"/>
      <c r="R96" s="27"/>
      <c r="S96" s="27"/>
      <c r="T96" s="27"/>
      <c r="U96" s="27"/>
      <c r="V96" s="27"/>
      <c r="W96" s="27"/>
      <c r="X96" s="27"/>
      <c r="Y96" s="27"/>
    </row>
    <row r="97" spans="1:25" x14ac:dyDescent="0.25">
      <c r="A97" s="28"/>
      <c r="B97" s="27"/>
      <c r="C97" s="27"/>
      <c r="D97" s="27"/>
      <c r="E97" s="27"/>
      <c r="F97" s="27"/>
      <c r="G97" s="27"/>
      <c r="H97" s="27"/>
      <c r="I97" s="27"/>
      <c r="J97" s="27"/>
      <c r="K97" s="27"/>
      <c r="L97" s="27"/>
      <c r="M97" s="27"/>
      <c r="N97" s="27"/>
      <c r="O97" s="27"/>
      <c r="P97" s="27"/>
      <c r="Q97" s="27"/>
      <c r="R97" s="27"/>
      <c r="S97" s="27"/>
      <c r="T97" s="27"/>
      <c r="U97" s="27"/>
      <c r="V97" s="27"/>
      <c r="W97" s="27"/>
      <c r="X97" s="27"/>
      <c r="Y97" s="27"/>
    </row>
    <row r="98" spans="1:25" x14ac:dyDescent="0.25">
      <c r="A98" s="28"/>
      <c r="B98" s="27"/>
      <c r="C98" s="27"/>
      <c r="D98" s="27"/>
      <c r="E98" s="27"/>
      <c r="F98" s="27"/>
      <c r="G98" s="27"/>
      <c r="H98" s="27"/>
      <c r="I98" s="27"/>
      <c r="J98" s="27"/>
      <c r="K98" s="27"/>
      <c r="L98" s="27"/>
      <c r="M98" s="27"/>
      <c r="N98" s="27"/>
      <c r="O98" s="27"/>
      <c r="P98" s="27"/>
      <c r="Q98" s="27"/>
      <c r="R98" s="27"/>
      <c r="S98" s="27"/>
      <c r="T98" s="27"/>
      <c r="U98" s="27"/>
      <c r="V98" s="27"/>
      <c r="W98" s="27"/>
      <c r="X98" s="27"/>
      <c r="Y98" s="27"/>
    </row>
    <row r="99" spans="1:25" x14ac:dyDescent="0.25">
      <c r="A99" s="28"/>
      <c r="B99" s="27"/>
      <c r="C99" s="27"/>
      <c r="D99" s="27"/>
      <c r="E99" s="27"/>
      <c r="F99" s="27"/>
      <c r="G99" s="27"/>
      <c r="H99" s="27"/>
      <c r="I99" s="27"/>
      <c r="J99" s="27"/>
      <c r="K99" s="27"/>
      <c r="L99" s="27"/>
      <c r="M99" s="27"/>
      <c r="N99" s="27"/>
      <c r="O99" s="27"/>
      <c r="P99" s="27"/>
      <c r="Q99" s="27"/>
      <c r="R99" s="27"/>
      <c r="S99" s="27"/>
      <c r="T99" s="27"/>
      <c r="U99" s="27"/>
      <c r="V99" s="27"/>
      <c r="W99" s="27"/>
      <c r="X99" s="27"/>
      <c r="Y99" s="27"/>
    </row>
    <row r="100" spans="1:25" x14ac:dyDescent="0.25">
      <c r="A100" s="28"/>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row>
    <row r="101" spans="1:25" x14ac:dyDescent="0.25">
      <c r="A101" s="28"/>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row>
    <row r="102" spans="1:25" x14ac:dyDescent="0.25">
      <c r="A102" s="28"/>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row>
    <row r="103" spans="1:25" x14ac:dyDescent="0.25">
      <c r="A103" s="28"/>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row>
    <row r="104" spans="1:25" x14ac:dyDescent="0.25">
      <c r="A104" s="28"/>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row>
    <row r="105" spans="1:25" x14ac:dyDescent="0.25">
      <c r="A105" s="28"/>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row>
    <row r="106" spans="1:25" x14ac:dyDescent="0.25">
      <c r="A106" s="28"/>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row>
    <row r="107" spans="1:25" x14ac:dyDescent="0.25">
      <c r="A107" s="28"/>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row>
    <row r="108" spans="1:25" x14ac:dyDescent="0.25">
      <c r="A108" s="28"/>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row>
    <row r="109" spans="1:25" x14ac:dyDescent="0.25">
      <c r="A109" s="28"/>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row>
    <row r="110" spans="1:25" x14ac:dyDescent="0.25">
      <c r="A110" s="28"/>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row>
    <row r="111" spans="1:25" x14ac:dyDescent="0.25">
      <c r="A111" s="28"/>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row>
    <row r="112" spans="1:25" x14ac:dyDescent="0.25">
      <c r="A112" s="28"/>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row>
    <row r="113" spans="1:25" x14ac:dyDescent="0.25">
      <c r="A113" s="28"/>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row>
    <row r="114" spans="1:25" x14ac:dyDescent="0.25">
      <c r="A114" s="28"/>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row>
    <row r="115" spans="1:25" x14ac:dyDescent="0.25">
      <c r="A115" s="28"/>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row>
    <row r="116" spans="1:25" x14ac:dyDescent="0.25">
      <c r="A116" s="28"/>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row>
    <row r="117" spans="1:25" x14ac:dyDescent="0.25">
      <c r="A117" s="28"/>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row>
    <row r="118" spans="1:25" x14ac:dyDescent="0.25">
      <c r="A118" s="28"/>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row>
    <row r="119" spans="1:25" x14ac:dyDescent="0.25">
      <c r="A119" s="28"/>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row>
    <row r="120" spans="1:25" x14ac:dyDescent="0.25">
      <c r="A120" s="28"/>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row>
    <row r="121" spans="1:25" x14ac:dyDescent="0.25">
      <c r="A121" s="28"/>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row>
    <row r="122" spans="1:25" x14ac:dyDescent="0.25">
      <c r="A122" s="28"/>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row>
    <row r="123" spans="1:25" x14ac:dyDescent="0.25">
      <c r="A123" s="28"/>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row>
    <row r="124" spans="1:25" x14ac:dyDescent="0.25">
      <c r="A124" s="28"/>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row>
    <row r="125" spans="1:25" x14ac:dyDescent="0.25">
      <c r="A125" s="28"/>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row>
    <row r="126" spans="1:25" x14ac:dyDescent="0.25">
      <c r="A126" s="28"/>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row>
    <row r="127" spans="1:25" x14ac:dyDescent="0.25">
      <c r="A127" s="28"/>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row>
    <row r="128" spans="1:25" x14ac:dyDescent="0.25">
      <c r="A128" s="28"/>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row>
    <row r="129" spans="1:25" x14ac:dyDescent="0.25">
      <c r="A129" s="28"/>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row>
    <row r="130" spans="1:25" x14ac:dyDescent="0.25">
      <c r="A130" s="28"/>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row>
    <row r="131" spans="1:25" x14ac:dyDescent="0.25">
      <c r="A131" s="28"/>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row>
    <row r="132" spans="1:25" x14ac:dyDescent="0.25">
      <c r="A132" s="28"/>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row>
    <row r="133" spans="1:25" x14ac:dyDescent="0.25">
      <c r="A133" s="28"/>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row>
    <row r="134" spans="1:25" x14ac:dyDescent="0.25">
      <c r="A134" s="28"/>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row>
    <row r="135" spans="1:25" x14ac:dyDescent="0.25">
      <c r="A135" s="28"/>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row>
    <row r="136" spans="1:25" x14ac:dyDescent="0.25">
      <c r="A136" s="28"/>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row>
    <row r="137" spans="1:25" x14ac:dyDescent="0.25">
      <c r="A137" s="28"/>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row>
    <row r="138" spans="1:25" x14ac:dyDescent="0.25">
      <c r="A138" s="28"/>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row>
    <row r="139" spans="1:25" x14ac:dyDescent="0.25">
      <c r="A139" s="13"/>
    </row>
    <row r="140" spans="1:25" x14ac:dyDescent="0.25">
      <c r="A140" s="13"/>
    </row>
    <row r="141" spans="1:25" x14ac:dyDescent="0.25">
      <c r="A141" s="13"/>
    </row>
    <row r="142" spans="1:25" x14ac:dyDescent="0.25">
      <c r="A142" s="13"/>
    </row>
    <row r="143" spans="1:25" x14ac:dyDescent="0.25">
      <c r="A143" s="13"/>
    </row>
    <row r="144" spans="1:25" x14ac:dyDescent="0.25">
      <c r="A144" s="13"/>
    </row>
    <row r="145" spans="1:1" x14ac:dyDescent="0.25">
      <c r="A145" s="13"/>
    </row>
    <row r="146" spans="1:1" x14ac:dyDescent="0.25">
      <c r="A146" s="13"/>
    </row>
    <row r="147" spans="1:1" x14ac:dyDescent="0.25">
      <c r="A147" s="13"/>
    </row>
  </sheetData>
  <sheetProtection sheet="1" objects="1" scenarios="1"/>
  <sortState ref="A2:Y75">
    <sortCondition ref="A2:A7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77"/>
  <sheetViews>
    <sheetView workbookViewId="0">
      <selection activeCell="C2" sqref="C2"/>
    </sheetView>
  </sheetViews>
  <sheetFormatPr defaultRowHeight="15" x14ac:dyDescent="0.25"/>
  <cols>
    <col min="3" max="3" width="10.42578125" bestFit="1" customWidth="1"/>
    <col min="4" max="4" width="6.85546875" bestFit="1" customWidth="1"/>
    <col min="5" max="5" width="10.7109375" customWidth="1"/>
    <col min="6" max="6" width="13.7109375" customWidth="1"/>
    <col min="7" max="7" width="12.42578125" customWidth="1"/>
    <col min="8" max="8" width="10.140625" customWidth="1"/>
    <col min="24" max="24" width="10" bestFit="1" customWidth="1"/>
  </cols>
  <sheetData>
    <row r="1" spans="1:24" ht="30" x14ac:dyDescent="0.25">
      <c r="A1" s="25" t="s">
        <v>74</v>
      </c>
      <c r="B1" s="25" t="s">
        <v>75</v>
      </c>
      <c r="C1" s="25" t="s">
        <v>16</v>
      </c>
      <c r="D1" s="25" t="s">
        <v>17</v>
      </c>
      <c r="E1" s="25" t="s">
        <v>86</v>
      </c>
      <c r="F1" s="25" t="s">
        <v>87</v>
      </c>
      <c r="G1" s="25" t="s">
        <v>88</v>
      </c>
      <c r="H1" s="25" t="s">
        <v>13</v>
      </c>
      <c r="I1" s="25"/>
      <c r="J1" s="25" t="s">
        <v>6</v>
      </c>
      <c r="K1" s="25" t="s">
        <v>7</v>
      </c>
      <c r="L1" s="25" t="s">
        <v>8</v>
      </c>
      <c r="M1" s="25" t="s">
        <v>9</v>
      </c>
      <c r="N1" s="25" t="s">
        <v>76</v>
      </c>
      <c r="O1" s="25" t="s">
        <v>77</v>
      </c>
      <c r="P1" s="25" t="s">
        <v>78</v>
      </c>
      <c r="Q1" s="25" t="s">
        <v>79</v>
      </c>
      <c r="R1" s="25" t="s">
        <v>80</v>
      </c>
      <c r="S1" s="25" t="s">
        <v>81</v>
      </c>
      <c r="T1" s="25" t="s">
        <v>82</v>
      </c>
      <c r="U1" s="25" t="s">
        <v>83</v>
      </c>
      <c r="V1" s="25" t="s">
        <v>13</v>
      </c>
      <c r="W1" s="25" t="s">
        <v>15</v>
      </c>
      <c r="X1" s="37">
        <v>0.56786000000000003</v>
      </c>
    </row>
    <row r="2" spans="1:24" x14ac:dyDescent="0.25">
      <c r="A2" s="15">
        <v>1</v>
      </c>
      <c r="B2" s="15"/>
      <c r="C2" s="28"/>
      <c r="D2" s="29"/>
      <c r="E2" s="26"/>
      <c r="F2" s="26"/>
      <c r="G2" s="26"/>
      <c r="H2" s="30"/>
      <c r="J2" s="32">
        <f>(SUM(Data!C50,Data!C56,Data!C57,Data!C70,Data!C77) - MIN(Data!C50,Data!C56,Data!C57,Data!C70,Data!C77) - MAX(Data!C50,Data!C56,Data!C57,Data!C70,Data!C77))/3 + (SUM(Data!D50,Data!D56,Data!D57,Data!D70,Data!D77) - MIN(Data!D50,Data!D56,Data!D57,Data!D70,Data!D77) - MAX(Data!D50,Data!D56,Data!D57,Data!D70,Data!D77))/3 + (SUM(Data!E50,Data!E56,Data!E57,Data!E70,Data!E77) - MIN(Data!E50,Data!E56,Data!E57,Data!E70,Data!E77) - MAX(Data!E50,Data!E56,Data!E57,Data!E70,Data!E77))/3</f>
        <v>0</v>
      </c>
      <c r="K2" s="32">
        <f>(SUM(Data!H50,Data!H56,Data!H57,Data!H70,Data!H77) - MIN(Data!H50,Data!H56,Data!H57,Data!H70,Data!H77) - MAX(Data!H50,Data!H56,Data!H57,Data!H70,Data!H77))/3 + (SUM(Data!I50,Data!I56,Data!I57,Data!I70,Data!I77) - MIN(Data!I50,Data!I56,Data!I57,Data!I70,Data!I77) - MAX(Data!I50,Data!I56,Data!I57,Data!I70,Data!I77))/3 + (SUM(Data!J50,Data!J56,Data!J57,Data!J70,Data!J77) - MIN(Data!J50,Data!J56,Data!J57,Data!J70,Data!J77) - MAX(Data!J50,Data!J56,Data!J57,Data!J70,Data!J77))/3 + (SUM(Data!K50,Data!K56,Data!K57,Data!K70,Data!K77) - MIN(Data!K50,Data!K56,Data!K57,Data!K70,Data!K77) - MAX(Data!K50,Data!K56,Data!K57,Data!K70,Data!K77))/3</f>
        <v>0</v>
      </c>
      <c r="L2" s="32">
        <f>SUM(Data!C78:E78)</f>
        <v>0</v>
      </c>
      <c r="M2" s="32">
        <f>SUM(Data!H78:K78)</f>
        <v>0</v>
      </c>
      <c r="N2" s="19">
        <f>IF(L2-J2&lt;0,0,L2-J2)</f>
        <v>0</v>
      </c>
      <c r="O2" s="19">
        <f>IF(N2&gt;(J2*2),J2*2,N2)</f>
        <v>0</v>
      </c>
      <c r="P2" s="19">
        <f>K2+IF(D2="AM", N2/3*4,N2*2)</f>
        <v>0</v>
      </c>
      <c r="Q2" s="19">
        <f>K2+IF(D2="AM",O2/3*4,O2*2)</f>
        <v>0</v>
      </c>
      <c r="R2" s="19">
        <f>P2-M2</f>
        <v>0</v>
      </c>
      <c r="S2" s="19">
        <f>Q2-M2</f>
        <v>0</v>
      </c>
      <c r="T2" s="19">
        <f>IF(R2&lt;=40,R2*$X$1,0)</f>
        <v>0</v>
      </c>
      <c r="U2" s="19">
        <f>IF(R2&lt;40,0,S2*$X$1)</f>
        <v>0</v>
      </c>
      <c r="V2" s="19">
        <f>T2+U2</f>
        <v>0</v>
      </c>
      <c r="W2" s="24">
        <f>IF(ABS(ROUNDDOWN((H2-V2),2)) &gt; 0.01, ROUNDDOWN(H2-V2,2), 0)</f>
        <v>0</v>
      </c>
    </row>
    <row r="3" spans="1:24" x14ac:dyDescent="0.25">
      <c r="A3" s="15">
        <v>2</v>
      </c>
      <c r="B3" s="15"/>
      <c r="C3" s="28"/>
      <c r="D3" s="29"/>
      <c r="E3" s="26"/>
      <c r="F3" s="26"/>
      <c r="G3" s="26"/>
      <c r="H3" s="30"/>
      <c r="J3" s="32">
        <f>(SUM(Data!C49,Data!C50,Data!C56,Data!C57,Data!C70) - MIN(Data!C49,Data!C50,Data!C56,Data!C57,Data!C70) - MAX(Data!C49,Data!C50,Data!C56,Data!C57,Data!C70))/3 + (SUM(Data!D49,Data!D50,Data!D56,Data!D57,Data!D70) - MIN(Data!D49,Data!D50,Data!D56,Data!D57,Data!D70) - MAX(Data!D49,Data!D50,Data!D56,Data!D57,Data!D70))/3 + (SUM(Data!E49,Data!E50,Data!E56,Data!E57,Data!E70) - MIN(Data!E49,Data!E50,Data!E56,Data!E57,Data!E70) - MAX(Data!E49,Data!E50,Data!E56,Data!E57,Data!E70))/3</f>
        <v>0</v>
      </c>
      <c r="K3" s="32">
        <f>(SUM(Data!H49,Data!H50,Data!H56,Data!H57,Data!H70) - MIN(Data!H49,Data!H50,Data!H56,Data!H57,Data!H70) - MAX(Data!H49,Data!H50,Data!H56,Data!H57,Data!H70))/3 + (SUM(Data!I49,Data!I50,Data!I56,Data!I57,Data!I70) - MIN(Data!I49,Data!I50,Data!I56,Data!I57,Data!I70) - MAX(Data!I49,Data!I50,Data!I56,Data!I57,Data!I70))/3 + (SUM(Data!J49,Data!J50,Data!J56,Data!J57,Data!J70) - MIN(Data!J49,Data!J50,Data!J56,Data!J57,Data!J70) - MAX(Data!J49,Data!J50,Data!J56,Data!J57,Data!J70))/3 + (SUM(Data!K49,Data!K50,Data!K56,Data!K57,Data!K70) - MIN(Data!K49,Data!K50,Data!K56,Data!K57,Data!K70) - MAX(Data!K49,Data!K50,Data!K56,Data!K57,Data!K70))/3</f>
        <v>0</v>
      </c>
      <c r="L3" s="32">
        <f>SUM(Data!C71:E71)</f>
        <v>0</v>
      </c>
      <c r="M3" s="32">
        <f>SUM(Data!H71:K71)</f>
        <v>0</v>
      </c>
      <c r="N3" s="19">
        <f t="shared" ref="N3:N31" si="0">IF(L3-J3&lt;0,0,L3-J3)</f>
        <v>0</v>
      </c>
      <c r="O3" s="19">
        <f t="shared" ref="O3:O31" si="1">IF(N3&gt;(J3*2),J3*2,N3)</f>
        <v>0</v>
      </c>
      <c r="P3" s="19">
        <f t="shared" ref="P3:P31" si="2">K3+IF(D3="AM", N3/3*4,N3*2)</f>
        <v>0</v>
      </c>
      <c r="Q3" s="19">
        <f t="shared" ref="Q3:Q31" si="3">K3+IF(D3="AM",O3/3*4,O3*2)</f>
        <v>0</v>
      </c>
      <c r="R3" s="19">
        <f t="shared" ref="R3:R31" si="4">P3-M3</f>
        <v>0</v>
      </c>
      <c r="S3" s="19">
        <f t="shared" ref="S3:S31" si="5">Q3-M3</f>
        <v>0</v>
      </c>
      <c r="T3" s="19">
        <f t="shared" ref="T3:T31" si="6">IF(R3&lt;=40,R3*$X$1,0)</f>
        <v>0</v>
      </c>
      <c r="U3" s="19">
        <f t="shared" ref="U3:U31" si="7">IF(R3&lt;40,0,S3*$X$1)</f>
        <v>0</v>
      </c>
      <c r="V3" s="19">
        <f t="shared" ref="V3:V31" si="8">T3+U3</f>
        <v>0</v>
      </c>
      <c r="W3" s="24">
        <f t="shared" ref="W3:W31" si="9">IF(ABS(ROUNDDOWN((H3-V3),2)) &gt; 0.01, ROUNDDOWN(H3-V3,2), 0)</f>
        <v>0</v>
      </c>
    </row>
    <row r="4" spans="1:24" x14ac:dyDescent="0.25">
      <c r="A4" s="15">
        <v>3</v>
      </c>
      <c r="B4" s="15"/>
      <c r="C4" s="28"/>
      <c r="D4" s="29"/>
      <c r="E4" s="26"/>
      <c r="F4" s="26"/>
      <c r="G4" s="26"/>
      <c r="H4" s="30"/>
      <c r="J4" s="32">
        <f>(SUM(Data!N55,Data!N58,Data!N59,Data!N61,Data!N62) - MIN(Data!N55,Data!N58,Data!N59,Data!N61,Data!N62) - MAX(Data!N55,Data!N58,Data!N59,Data!N61,Data!N62))/3 + (SUM(Data!O55,Data!O58,Data!O59,Data!O61,Data!O62) - MIN(Data!O55,Data!O58,Data!O59,Data!O61,Data!O62) - MAX(Data!O55,Data!O58,Data!O59,Data!O61,Data!O62))/3</f>
        <v>0</v>
      </c>
      <c r="K4" s="32">
        <f>(SUM(Data!R55,Data!R58,Data!R59,Data!R61,Data!R62) - MIN(Data!R55,Data!R58,Data!R59,Data!R61,Data!R62) - MAX(Data!R55,Data!R58,Data!R59,Data!R61,Data!R62))/3 + (SUM(Data!S55,Data!S58,Data!S59,Data!S61,Data!S62) - MIN(Data!S55,Data!S58,Data!S59,Data!S61,Data!S62) - MAX(Data!S55,Data!S58,Data!S59,Data!S61,Data!S62))/3 + (SUM(Data!T55,Data!T58,Data!T59,Data!T61,Data!T62) - MIN(Data!T55,Data!T58,Data!T59,Data!T61,Data!T62) - MAX(Data!T55,Data!T58,Data!T59,Data!T61,Data!T62))/3 + (SUM(Data!U55,Data!U58,Data!U59,Data!U61,Data!U62) - MIN(Data!U55,Data!U58,Data!U59,Data!U61,Data!U62) - MAX(Data!U55,Data!U58,Data!U59,Data!U61,Data!U62))/3</f>
        <v>0</v>
      </c>
      <c r="L4" s="32">
        <f>SUM(Data!N65:O65)</f>
        <v>0</v>
      </c>
      <c r="M4" s="32">
        <f>SUM(Data!R65:U65)</f>
        <v>0</v>
      </c>
      <c r="N4" s="19">
        <f t="shared" si="0"/>
        <v>0</v>
      </c>
      <c r="O4" s="19">
        <f t="shared" si="1"/>
        <v>0</v>
      </c>
      <c r="P4" s="19">
        <f t="shared" si="2"/>
        <v>0</v>
      </c>
      <c r="Q4" s="19">
        <f t="shared" si="3"/>
        <v>0</v>
      </c>
      <c r="R4" s="19">
        <f t="shared" si="4"/>
        <v>0</v>
      </c>
      <c r="S4" s="19">
        <f t="shared" si="5"/>
        <v>0</v>
      </c>
      <c r="T4" s="19">
        <f t="shared" si="6"/>
        <v>0</v>
      </c>
      <c r="U4" s="19">
        <f t="shared" si="7"/>
        <v>0</v>
      </c>
      <c r="V4" s="19">
        <f t="shared" si="8"/>
        <v>0</v>
      </c>
      <c r="W4" s="24">
        <f t="shared" si="9"/>
        <v>0</v>
      </c>
    </row>
    <row r="5" spans="1:24" x14ac:dyDescent="0.25">
      <c r="A5" s="15">
        <v>4</v>
      </c>
      <c r="B5" s="15"/>
      <c r="C5" s="28"/>
      <c r="D5" s="29"/>
      <c r="E5" s="26"/>
      <c r="F5" s="26"/>
      <c r="G5" s="26"/>
      <c r="H5" s="30"/>
      <c r="J5" s="32">
        <f>(SUM(Data!C55,Data!C58,Data!C59,Data!C61,Data!C62) - MIN(Data!C55,Data!C58,Data!C59,Data!C61,Data!C62) - MAX(Data!C55,Data!C58,Data!C59,Data!C61,Data!C62))/3 + (SUM(Data!D55,Data!D58,Data!D59,Data!D61,Data!D62) - MIN(Data!D55,Data!D58,Data!D59,Data!D61,Data!D62) - MAX(Data!D55,Data!D58,Data!D59,Data!D61,Data!D62))/3 + (SUM(Data!E55,Data!E58,Data!E59,Data!E61,Data!E62) - MIN(Data!E55,Data!E58,Data!E59,Data!E61,Data!E62) - MAX(Data!E55,Data!E58,Data!E59,Data!E61,Data!E62))/3</f>
        <v>0</v>
      </c>
      <c r="K5" s="32">
        <f>(SUM(Data!H55,Data!H58,Data!H59,Data!H61,Data!H62) - MIN(Data!H55,Data!H58,Data!H59,Data!H61,Data!H62) - MAX(Data!H55,Data!H58,Data!H59,Data!H61,Data!H62))/3 + (SUM(Data!I55,Data!I58,Data!I59,Data!I61,Data!I62) - MIN(Data!I55,Data!I58,Data!I59,Data!I61,Data!I62) - MAX(Data!I55,Data!I58,Data!I59,Data!I61,Data!I62))/3 + (SUM(Data!J55,Data!J58,Data!J59,Data!J61,Data!J62) - MIN(Data!J55,Data!J58,Data!J59,Data!J61,Data!J62) - MAX(Data!J55,Data!J58,Data!J59,Data!J61,Data!J62))/3 + (SUM(Data!K55,Data!K58,Data!K59,Data!K61,Data!K62) - MIN(Data!K55,Data!K58,Data!K59,Data!K61,Data!K62) - MAX(Data!K55,Data!K58,Data!K59,Data!K61,Data!K62))/3</f>
        <v>0</v>
      </c>
      <c r="L5" s="32">
        <f>SUM(Data!C65:E65)</f>
        <v>0</v>
      </c>
      <c r="M5" s="32">
        <f>SUM(Data!H65:K65)</f>
        <v>0</v>
      </c>
      <c r="N5" s="19">
        <f t="shared" si="0"/>
        <v>0</v>
      </c>
      <c r="O5" s="19">
        <f t="shared" si="1"/>
        <v>0</v>
      </c>
      <c r="P5" s="19">
        <f t="shared" si="2"/>
        <v>0</v>
      </c>
      <c r="Q5" s="19">
        <f t="shared" si="3"/>
        <v>0</v>
      </c>
      <c r="R5" s="19">
        <f t="shared" si="4"/>
        <v>0</v>
      </c>
      <c r="S5" s="19">
        <f t="shared" si="5"/>
        <v>0</v>
      </c>
      <c r="T5" s="19">
        <f t="shared" si="6"/>
        <v>0</v>
      </c>
      <c r="U5" s="19">
        <f t="shared" si="7"/>
        <v>0</v>
      </c>
      <c r="V5" s="19">
        <f t="shared" si="8"/>
        <v>0</v>
      </c>
      <c r="W5" s="24">
        <f t="shared" si="9"/>
        <v>0</v>
      </c>
    </row>
    <row r="6" spans="1:24" x14ac:dyDescent="0.25">
      <c r="A6" s="15">
        <v>5</v>
      </c>
      <c r="B6" s="15"/>
      <c r="C6" s="28"/>
      <c r="D6" s="29"/>
      <c r="E6" s="26"/>
      <c r="F6" s="26"/>
      <c r="G6" s="26"/>
      <c r="H6" s="30"/>
      <c r="J6" s="32">
        <f>(SUM(Data!N42,Data!N49,Data!N50,Data!N56,Data!N57) - MIN(Data!N42,Data!N49,Data!N50,Data!N56,Data!N57) - MAX(Data!N42,Data!N49,Data!N50,Data!N56,Data!N57))/3 + (SUM(Data!O42,Data!O49,Data!O50,Data!O56,Data!O57) - MIN(Data!O42,Data!O49,Data!O50,Data!O56,Data!O57) - MAX(Data!O42,Data!O49,Data!O50,Data!O56,Data!O57))/3</f>
        <v>0</v>
      </c>
      <c r="K6" s="32">
        <f>(SUM(Data!R42,Data!R49,Data!R50,Data!R56,Data!R57) - MIN(Data!R42,Data!R49,Data!R50,Data!R56,Data!R57) - MAX(Data!R42,Data!R49,Data!R50,Data!R56,Data!R57))/3 + (SUM(Data!S42,Data!S49,Data!S50,Data!S56,Data!S57) - MIN(Data!S42,Data!S49,Data!S50,Data!S56,Data!S57) - MAX(Data!S42,Data!S49,Data!S50,Data!S56,Data!S57))/3 + (SUM(Data!T42,Data!T49,Data!T50,Data!T56,Data!T57) - MIN(Data!T42,Data!T49,Data!T50,Data!T56,Data!T57) - MAX(Data!T42,Data!T49,Data!T50,Data!T56,Data!T57))/3 + (SUM(Data!U42,Data!U49,Data!U50,Data!U56,Data!U57) - MIN(Data!U42,Data!U49,Data!U50,Data!U56,Data!U57) - MAX(Data!U42,Data!U49,Data!U50,Data!U56,Data!U57))/3</f>
        <v>0</v>
      </c>
      <c r="L6" s="32">
        <f>SUM(Data!N64:O64)</f>
        <v>0</v>
      </c>
      <c r="M6" s="32">
        <f>SUM(Data!R64:U64)</f>
        <v>0</v>
      </c>
      <c r="N6" s="19">
        <f t="shared" si="0"/>
        <v>0</v>
      </c>
      <c r="O6" s="19">
        <f t="shared" si="1"/>
        <v>0</v>
      </c>
      <c r="P6" s="19">
        <f t="shared" si="2"/>
        <v>0</v>
      </c>
      <c r="Q6" s="19">
        <f t="shared" si="3"/>
        <v>0</v>
      </c>
      <c r="R6" s="19">
        <f t="shared" si="4"/>
        <v>0</v>
      </c>
      <c r="S6" s="19">
        <f t="shared" si="5"/>
        <v>0</v>
      </c>
      <c r="T6" s="19">
        <f t="shared" si="6"/>
        <v>0</v>
      </c>
      <c r="U6" s="19">
        <f t="shared" si="7"/>
        <v>0</v>
      </c>
      <c r="V6" s="19">
        <f t="shared" si="8"/>
        <v>0</v>
      </c>
      <c r="W6" s="24">
        <f t="shared" si="9"/>
        <v>0</v>
      </c>
    </row>
    <row r="7" spans="1:24" x14ac:dyDescent="0.25">
      <c r="A7" s="15">
        <v>6</v>
      </c>
      <c r="B7" s="15"/>
      <c r="C7" s="28"/>
      <c r="D7" s="29"/>
      <c r="E7" s="26"/>
      <c r="F7" s="26"/>
      <c r="G7" s="26"/>
      <c r="H7" s="30"/>
      <c r="J7" s="32">
        <f>(SUM(Data!C42,Data!C49,Data!C50,Data!C56,Data!C57) - MIN(Data!C42,Data!C49,Data!C50,Data!C56,Data!C57) - MAX(Data!C42,Data!C49,Data!C50,Data!C56,Data!C57))/3 + (SUM(Data!D42,Data!D49,Data!D50,Data!D56,Data!D57) - MIN(Data!D42,Data!D49,Data!D50,Data!D56,Data!D57) - MAX(Data!D42,Data!D49,Data!D50,Data!D56,Data!D57))/3 + (SUM(Data!E42,Data!E49,Data!E50,Data!E56,Data!E57) - MIN(Data!E42,Data!E49,Data!E50,Data!E56,Data!E57) - MAX(Data!E42,Data!E49,Data!E50,Data!E56,Data!E57))/3</f>
        <v>0</v>
      </c>
      <c r="K7" s="32">
        <f>(SUM(Data!H42,Data!H49,Data!H50,Data!H56,Data!H57) - MIN(Data!H42,Data!H49,Data!H50,Data!H56,Data!H57) - MAX(Data!H42,Data!H49,Data!H50,Data!H56,Data!H57))/3 + (SUM(Data!I42,Data!I49,Data!I50,Data!I56,Data!I57) - MIN(Data!I42,Data!I49,Data!I50,Data!I56,Data!I57) - MAX(Data!I42,Data!I49,Data!I50,Data!I56,Data!I57))/3 + (SUM(Data!J42,Data!J49,Data!J50,Data!J56,Data!J57) - MIN(Data!J42,Data!J49,Data!J50,Data!J56,Data!J57) - MAX(Data!J42,Data!J49,Data!J50,Data!J56,Data!J57))/3 + (SUM(Data!K42,Data!K49,Data!K50,Data!K56,Data!K57) - MIN(Data!K42,Data!K49,Data!K50,Data!K56,Data!K57) - MAX(Data!K42,Data!K49,Data!K50,Data!K56,Data!K57))/3</f>
        <v>0</v>
      </c>
      <c r="L7" s="32">
        <f>SUM(Data!C64:E64)</f>
        <v>0</v>
      </c>
      <c r="M7" s="32">
        <f>SUM(Data!H64:K64)</f>
        <v>0</v>
      </c>
      <c r="N7" s="19">
        <f t="shared" si="0"/>
        <v>0</v>
      </c>
      <c r="O7" s="19">
        <f t="shared" si="1"/>
        <v>0</v>
      </c>
      <c r="P7" s="19">
        <f t="shared" si="2"/>
        <v>0</v>
      </c>
      <c r="Q7" s="19">
        <f t="shared" si="3"/>
        <v>0</v>
      </c>
      <c r="R7" s="19">
        <f t="shared" si="4"/>
        <v>0</v>
      </c>
      <c r="S7" s="19">
        <f t="shared" si="5"/>
        <v>0</v>
      </c>
      <c r="T7" s="19">
        <f t="shared" si="6"/>
        <v>0</v>
      </c>
      <c r="U7" s="19">
        <f t="shared" si="7"/>
        <v>0</v>
      </c>
      <c r="V7" s="19">
        <f t="shared" si="8"/>
        <v>0</v>
      </c>
      <c r="W7" s="24">
        <f t="shared" si="9"/>
        <v>0</v>
      </c>
    </row>
    <row r="8" spans="1:24" x14ac:dyDescent="0.25">
      <c r="A8" s="15">
        <v>7</v>
      </c>
      <c r="B8" s="15"/>
      <c r="C8" s="28"/>
      <c r="D8" s="29"/>
      <c r="E8" s="26"/>
      <c r="F8" s="26"/>
      <c r="G8" s="26"/>
      <c r="H8" s="30"/>
      <c r="J8" s="32">
        <f>(SUM(Data!C42,Data!C49,Data!C50,Data!C56,Data!C57) - MIN(Data!C42,Data!C49,Data!C50,Data!C56,Data!C57) - MAX(Data!C42,Data!C49,Data!C50,Data!C56,Data!C57))/3 + (SUM(Data!D42,Data!D49,Data!D50,Data!D56,Data!D57) - MIN(Data!D42,Data!D49,Data!D50,Data!D56,Data!D57) - MAX(Data!D42,Data!D49,Data!D50,Data!D56,Data!D57))/3 + (SUM(Data!E42,Data!E49,Data!E50,Data!E56,Data!E57) - MIN(Data!E42,Data!E49,Data!E50,Data!E56,Data!E57) - MAX(Data!E42,Data!E49,Data!E50,Data!E56,Data!E57))/3</f>
        <v>0</v>
      </c>
      <c r="K8" s="32">
        <f>(SUM(Data!H42,Data!H49,Data!H50,Data!H56,Data!H57) - MIN(Data!H42,Data!H49,Data!H50,Data!H56,Data!H57) - MAX(Data!H42,Data!H49,Data!H50,Data!H56,Data!H57))/3 + (SUM(Data!I42,Data!I49,Data!I50,Data!I56,Data!I57) - MIN(Data!I42,Data!I49,Data!I50,Data!I56,Data!I57) - MAX(Data!I42,Data!I49,Data!I50,Data!I56,Data!I57))/3 + (SUM(Data!J42,Data!J49,Data!J50,Data!J56,Data!J57) - MIN(Data!J42,Data!J49,Data!J50,Data!J56,Data!J57) - MAX(Data!J42,Data!J49,Data!J50,Data!J56,Data!J57))/3 + (SUM(Data!K42,Data!K49,Data!K50,Data!K56,Data!K57) - MIN(Data!K42,Data!K49,Data!K50,Data!K56,Data!K57) - MAX(Data!K42,Data!K49,Data!K50,Data!K56,Data!K57))/3</f>
        <v>0</v>
      </c>
      <c r="L8" s="32">
        <f>SUM(Data!C63:E63)</f>
        <v>0</v>
      </c>
      <c r="M8" s="32">
        <f>SUM(Data!H63:K63)</f>
        <v>0</v>
      </c>
      <c r="N8" s="19">
        <f t="shared" si="0"/>
        <v>0</v>
      </c>
      <c r="O8" s="19">
        <f t="shared" si="1"/>
        <v>0</v>
      </c>
      <c r="P8" s="19">
        <f t="shared" si="2"/>
        <v>0</v>
      </c>
      <c r="Q8" s="19">
        <f t="shared" si="3"/>
        <v>0</v>
      </c>
      <c r="R8" s="19">
        <f t="shared" si="4"/>
        <v>0</v>
      </c>
      <c r="S8" s="19">
        <f t="shared" si="5"/>
        <v>0</v>
      </c>
      <c r="T8" s="19">
        <f t="shared" si="6"/>
        <v>0</v>
      </c>
      <c r="U8" s="19">
        <f t="shared" si="7"/>
        <v>0</v>
      </c>
      <c r="V8" s="19">
        <f t="shared" si="8"/>
        <v>0</v>
      </c>
      <c r="W8" s="24">
        <f t="shared" si="9"/>
        <v>0</v>
      </c>
    </row>
    <row r="9" spans="1:24" x14ac:dyDescent="0.25">
      <c r="A9" s="15">
        <v>8</v>
      </c>
      <c r="B9" s="15"/>
      <c r="C9" s="28"/>
      <c r="D9" s="29"/>
      <c r="E9" s="26"/>
      <c r="F9" s="26"/>
      <c r="G9" s="26"/>
      <c r="H9" s="30"/>
      <c r="J9" s="32">
        <f>(SUM(Data!C53,Data!C54,Data!C55,Data!C58,Data!C59) - MIN(Data!C53,Data!C54,Data!C55,Data!C58,Data!C59) - MAX(Data!C53,Data!C54,Data!C55,Data!C58,Data!C59))/3 + (SUM(Data!D53,Data!D54,Data!D55,Data!D58,Data!D59) - MIN(Data!D53,Data!D54,Data!D55,Data!D58,Data!D59) - MAX(Data!D53,Data!D54,Data!D55,Data!D58,Data!D59))/3 + (SUM(Data!E53,Data!E54,Data!E55,Data!E58,Data!E59) - MIN(Data!E53,Data!E54,Data!E55,Data!E58,Data!E59) - MAX(Data!E53,Data!E54,Data!E55,Data!E58,Data!E59))/3</f>
        <v>0</v>
      </c>
      <c r="K9" s="32">
        <f>(SUM(Data!H53,Data!H54,Data!H55,Data!H58,Data!H59) - MIN(Data!H53,Data!H54,Data!H55,Data!H58,Data!H59) - MAX(Data!H53,Data!H54,Data!H55,Data!H58,Data!H59))/3 + (SUM(Data!I53,Data!I54,Data!I55,Data!I58,Data!I59) - MIN(Data!I53,Data!I54,Data!I55,Data!I58,Data!I59) - MAX(Data!I53,Data!I54,Data!I55,Data!I58,Data!I59))/3 + (SUM(Data!J53,Data!J54,Data!J55,Data!J58,Data!J59) - MIN(Data!J53,Data!J54,Data!J55,Data!J58,Data!J59) - MAX(Data!J53,Data!J54,Data!J55,Data!J58,Data!J59))/3 + (SUM(Data!K53,Data!K54,Data!K55,Data!K58,Data!K59) - MIN(Data!K53,Data!K54,Data!K55,Data!K58,Data!K59) - MAX(Data!K53,Data!K54,Data!K55,Data!K58,Data!K59))/3</f>
        <v>0</v>
      </c>
      <c r="L9" s="32">
        <f>SUM(Data!C60:E60)</f>
        <v>0</v>
      </c>
      <c r="M9" s="32">
        <f>SUM(Data!H60:K60)</f>
        <v>0</v>
      </c>
      <c r="N9" s="19">
        <f t="shared" si="0"/>
        <v>0</v>
      </c>
      <c r="O9" s="19">
        <f t="shared" si="1"/>
        <v>0</v>
      </c>
      <c r="P9" s="19">
        <f t="shared" si="2"/>
        <v>0</v>
      </c>
      <c r="Q9" s="19">
        <f t="shared" si="3"/>
        <v>0</v>
      </c>
      <c r="R9" s="19">
        <f t="shared" si="4"/>
        <v>0</v>
      </c>
      <c r="S9" s="19">
        <f t="shared" si="5"/>
        <v>0</v>
      </c>
      <c r="T9" s="19">
        <f t="shared" si="6"/>
        <v>0</v>
      </c>
      <c r="U9" s="19">
        <f t="shared" si="7"/>
        <v>0</v>
      </c>
      <c r="V9" s="19">
        <f t="shared" si="8"/>
        <v>0</v>
      </c>
      <c r="W9" s="24">
        <f t="shared" si="9"/>
        <v>0</v>
      </c>
    </row>
    <row r="10" spans="1:24" x14ac:dyDescent="0.25">
      <c r="A10" s="15">
        <v>9</v>
      </c>
      <c r="B10" s="15"/>
      <c r="C10" s="28"/>
      <c r="D10" s="29"/>
      <c r="E10" s="26"/>
      <c r="F10" s="26"/>
      <c r="G10" s="26"/>
      <c r="H10" s="30"/>
      <c r="J10" s="32">
        <f>(SUM(Data!N27,Data!N30,Data!N31,Data!N37,Data!N38) - MIN(Data!N27,Data!N30,Data!N31,Data!N37,Data!N38) - MAX(Data!N27,Data!N30,Data!N31,Data!N37,Data!N38))/3 + (SUM(Data!O27,Data!O30,Data!O31,Data!O37,Data!O38) - MIN(Data!O27,Data!O30,Data!O31,Data!O37,Data!O38) - MAX(Data!O27,Data!O30,Data!O31,Data!O37,Data!O38))/3</f>
        <v>0</v>
      </c>
      <c r="K10" s="32">
        <f>(SUM(Data!R27,Data!R30,Data!R31,Data!R37,Data!R38) - MIN(Data!R27,Data!R30,Data!R31,Data!R37,Data!R38) - MAX(Data!R27,Data!R30,Data!R31,Data!R37,Data!R38))/3 + (SUM(Data!S27,Data!S30,Data!S31,Data!S37,Data!S38) - MIN(Data!S27,Data!S30,Data!S31,Data!S37,Data!S38) - MAX(Data!S27,Data!S30,Data!S31,Data!S37,Data!S38))/3 + (SUM(Data!T27,Data!T30,Data!T31,Data!T37,Data!T38) - MIN(Data!T27,Data!T30,Data!T31,Data!T37,Data!T38) - MAX(Data!T27,Data!T30,Data!T31,Data!T37,Data!T38))/3 + (SUM(Data!U27,Data!U30,Data!U31,Data!U37,Data!U38) - MIN(Data!U27,Data!U30,Data!U31,Data!U37,Data!U38) - MAX(Data!U27,Data!U30,Data!U31,Data!U37,Data!U38))/3</f>
        <v>0</v>
      </c>
      <c r="L10" s="32">
        <f>SUM(Data!N44:O44)</f>
        <v>0</v>
      </c>
      <c r="M10" s="32">
        <f>SUM(Data!R44:U44)</f>
        <v>0</v>
      </c>
      <c r="N10" s="19">
        <f t="shared" si="0"/>
        <v>0</v>
      </c>
      <c r="O10" s="19">
        <f t="shared" si="1"/>
        <v>0</v>
      </c>
      <c r="P10" s="19">
        <f t="shared" si="2"/>
        <v>0</v>
      </c>
      <c r="Q10" s="19">
        <f t="shared" si="3"/>
        <v>0</v>
      </c>
      <c r="R10" s="19">
        <f t="shared" si="4"/>
        <v>0</v>
      </c>
      <c r="S10" s="19">
        <f t="shared" si="5"/>
        <v>0</v>
      </c>
      <c r="T10" s="19">
        <f t="shared" si="6"/>
        <v>0</v>
      </c>
      <c r="U10" s="19">
        <f t="shared" si="7"/>
        <v>0</v>
      </c>
      <c r="V10" s="19">
        <f t="shared" si="8"/>
        <v>0</v>
      </c>
      <c r="W10" s="24">
        <f t="shared" si="9"/>
        <v>0</v>
      </c>
    </row>
    <row r="11" spans="1:24" x14ac:dyDescent="0.25">
      <c r="A11" s="15">
        <v>10</v>
      </c>
      <c r="B11" s="15"/>
      <c r="C11" s="28"/>
      <c r="D11" s="29"/>
      <c r="E11" s="26"/>
      <c r="F11" s="26"/>
      <c r="G11" s="26"/>
      <c r="H11" s="30"/>
      <c r="J11" s="32">
        <f>(SUM(Data!C27,Data!C30,Data!C31,Data!C37,Data!C38) - MIN(Data!C27,Data!C30,Data!C31,Data!C37,Data!C38) - MAX(Data!C27,Data!C30,Data!C31,Data!C37,Data!C38))/3 + (SUM(Data!D27,Data!D30,Data!D31,Data!D37,Data!D38) - MIN(Data!D27,Data!D30,Data!D31,Data!D37,Data!D38) - MAX(Data!D27,Data!D30,Data!D31,Data!D37,Data!D38))/3 + (SUM(Data!E27,Data!E30,Data!E31,Data!E37,Data!E38) - MIN(Data!E27,Data!E30,Data!E31,Data!E37,Data!E38) - MAX(Data!E27,Data!E30,Data!E31,Data!E37,Data!E38))/3</f>
        <v>0</v>
      </c>
      <c r="K11" s="32">
        <f>(SUM(Data!H27,Data!H30,Data!H31,Data!H37,Data!H38) - MIN(Data!H27,Data!H30,Data!H31,Data!H37,Data!H38) - MAX(Data!H27,Data!H30,Data!H31,Data!H37,Data!H38))/3 + (SUM(Data!I27,Data!I30,Data!I31,Data!I37,Data!I38) - MIN(Data!I27,Data!I30,Data!I31,Data!I37,Data!I38) - MAX(Data!I27,Data!I30,Data!I31,Data!I37,Data!I38))/3 + (SUM(Data!J27,Data!J30,Data!J31,Data!J37,Data!J38) - MIN(Data!J27,Data!J30,Data!J31,Data!J37,Data!J38) - MAX(Data!J27,Data!J30,Data!J31,Data!J37,Data!J38))/3 + (SUM(Data!K27,Data!K30,Data!K31,Data!K37,Data!K38) - MIN(Data!K27,Data!K30,Data!K31,Data!K37,Data!K38) - MAX(Data!K27,Data!K30,Data!K31,Data!K37,Data!K38))/3</f>
        <v>0</v>
      </c>
      <c r="L11" s="32">
        <f>SUM(Data!C44:E44)</f>
        <v>0</v>
      </c>
      <c r="M11" s="32">
        <f>SUM(Data!H44:K44)</f>
        <v>0</v>
      </c>
      <c r="N11" s="19">
        <f t="shared" si="0"/>
        <v>0</v>
      </c>
      <c r="O11" s="19">
        <f t="shared" si="1"/>
        <v>0</v>
      </c>
      <c r="P11" s="19">
        <f t="shared" si="2"/>
        <v>0</v>
      </c>
      <c r="Q11" s="19">
        <f t="shared" si="3"/>
        <v>0</v>
      </c>
      <c r="R11" s="19">
        <f t="shared" si="4"/>
        <v>0</v>
      </c>
      <c r="S11" s="19">
        <f t="shared" si="5"/>
        <v>0</v>
      </c>
      <c r="T11" s="19">
        <f t="shared" si="6"/>
        <v>0</v>
      </c>
      <c r="U11" s="19">
        <f t="shared" si="7"/>
        <v>0</v>
      </c>
      <c r="V11" s="19">
        <f t="shared" si="8"/>
        <v>0</v>
      </c>
      <c r="W11" s="24">
        <f t="shared" si="9"/>
        <v>0</v>
      </c>
    </row>
    <row r="12" spans="1:24" x14ac:dyDescent="0.25">
      <c r="A12" s="15">
        <v>11</v>
      </c>
      <c r="B12" s="15"/>
      <c r="C12" s="28"/>
      <c r="D12" s="29"/>
      <c r="E12" s="26"/>
      <c r="F12" s="26"/>
      <c r="G12" s="26"/>
      <c r="H12" s="30"/>
      <c r="J12" s="32">
        <f>(SUM(Data!N28,Data!N29,Data!N35,Data!N36,Data!N42) - MIN(Data!N28,Data!N29,Data!N35,Data!N36,Data!N42) - MAX(Data!N28,Data!N29,Data!N35,Data!N36,Data!N42))/3 + (SUM(Data!O28,Data!O29,Data!O35,Data!O36,Data!O42) - MIN(Data!O28,Data!O29,Data!O35,Data!O36,Data!O42) - MAX(Data!O28,Data!O29,Data!O35,Data!O36,Data!O42))/3</f>
        <v>0</v>
      </c>
      <c r="K12" s="32">
        <f>(SUM(Data!R28,Data!R29,Data!R35,Data!R36,Data!R42) - MIN(Data!R28,Data!R29,Data!R35,Data!R36,Data!R42) - MAX(Data!R28,Data!R29,Data!R35,Data!R36,Data!R42))/3 + (SUM(Data!S28,Data!S29,Data!S35,Data!S36,Data!S42) - MIN(Data!S28,Data!S29,Data!S35,Data!S36,Data!S42) - MAX(Data!S28,Data!S29,Data!S35,Data!S36,Data!S42))/3 + (SUM(Data!T28,Data!T29,Data!T35,Data!T36,Data!T42) - MIN(Data!T28,Data!T29,Data!T35,Data!T36,Data!T42) - MAX(Data!T28,Data!T29,Data!T35,Data!T36,Data!T42))/3 + (SUM(Data!U28,Data!U29,Data!U35,Data!U36,Data!U42) - MIN(Data!U28,Data!U29,Data!U35,Data!U36,Data!U42) - MAX(Data!U28,Data!U29,Data!U35,Data!U36,Data!U42))/3</f>
        <v>0</v>
      </c>
      <c r="L12" s="32">
        <f>SUM(Data!N43:O43)</f>
        <v>0</v>
      </c>
      <c r="M12" s="32">
        <f>SUM(Data!R43:U43)</f>
        <v>0</v>
      </c>
      <c r="N12" s="19">
        <f t="shared" si="0"/>
        <v>0</v>
      </c>
      <c r="O12" s="19">
        <f t="shared" si="1"/>
        <v>0</v>
      </c>
      <c r="P12" s="19">
        <f t="shared" si="2"/>
        <v>0</v>
      </c>
      <c r="Q12" s="19">
        <f t="shared" si="3"/>
        <v>0</v>
      </c>
      <c r="R12" s="19">
        <f t="shared" si="4"/>
        <v>0</v>
      </c>
      <c r="S12" s="19">
        <f t="shared" si="5"/>
        <v>0</v>
      </c>
      <c r="T12" s="19">
        <f t="shared" si="6"/>
        <v>0</v>
      </c>
      <c r="U12" s="19">
        <f t="shared" si="7"/>
        <v>0</v>
      </c>
      <c r="V12" s="19">
        <f t="shared" si="8"/>
        <v>0</v>
      </c>
      <c r="W12" s="24">
        <f t="shared" si="9"/>
        <v>0</v>
      </c>
    </row>
    <row r="13" spans="1:24" x14ac:dyDescent="0.25">
      <c r="A13" s="15">
        <v>12</v>
      </c>
      <c r="B13" s="15"/>
      <c r="C13" s="28"/>
      <c r="D13" s="29"/>
      <c r="E13" s="26"/>
      <c r="F13" s="26"/>
      <c r="G13" s="26"/>
      <c r="H13" s="30"/>
      <c r="J13" s="32">
        <f>(SUM(Data!N7,Data!N8,Data!N14,Data!N15,Data!N21) - MIN(Data!N7,Data!N8,Data!N14,Data!N15,Data!N21) - MAX(Data!N7,Data!N8,Data!N14,Data!N15,Data!N21))/3 + (SUM(Data!O7,Data!O8,Data!O14,Data!O15,Data!O21) - MIN(Data!O7,Data!O8,Data!O14,Data!O15,Data!O21) - MAX(Data!O7,Data!O8,Data!O14,Data!O15,Data!O21))/3</f>
        <v>0</v>
      </c>
      <c r="K13" s="32">
        <f>(SUM(Data!R7,Data!R8,Data!R14,Data!R15,Data!R21) - MIN(Data!R7,Data!R8,Data!R14,Data!R15,Data!R21) - MAX(Data!R7,Data!R8,Data!R14,Data!R15,Data!R21))/3 + (SUM(Data!S7,Data!S8,Data!S14,Data!S15,Data!S21) - MIN(Data!S7,Data!S8,Data!S14,Data!S15,Data!S21) - MAX(Data!S7,Data!S8,Data!S14,Data!S15,Data!S21))/3 + (SUM(Data!T7,Data!T8,Data!T14,Data!T15,Data!T21) - MIN(Data!T7,Data!T8,Data!T14,Data!T15,Data!T21) - MAX(Data!T7,Data!T8,Data!T14,Data!T15,Data!T21))/3 + (SUM(Data!U7,Data!U8,Data!U14,Data!U15,Data!U21) - MIN(Data!U7,Data!U8,Data!U14,Data!U15,Data!U21) - MAX(Data!U7,Data!U8,Data!U14,Data!U15,Data!U21))/3</f>
        <v>0</v>
      </c>
      <c r="L13" s="32">
        <f>SUM(Data!N22:O22)</f>
        <v>0</v>
      </c>
      <c r="M13" s="32">
        <f>SUM(Data!R22:U22)</f>
        <v>0</v>
      </c>
      <c r="N13" s="19">
        <f t="shared" si="0"/>
        <v>0</v>
      </c>
      <c r="O13" s="19">
        <f t="shared" si="1"/>
        <v>0</v>
      </c>
      <c r="P13" s="19">
        <f t="shared" si="2"/>
        <v>0</v>
      </c>
      <c r="Q13" s="19">
        <f t="shared" si="3"/>
        <v>0</v>
      </c>
      <c r="R13" s="19">
        <f t="shared" si="4"/>
        <v>0</v>
      </c>
      <c r="S13" s="19">
        <f t="shared" si="5"/>
        <v>0</v>
      </c>
      <c r="T13" s="19">
        <f t="shared" si="6"/>
        <v>0</v>
      </c>
      <c r="U13" s="19">
        <f t="shared" si="7"/>
        <v>0</v>
      </c>
      <c r="V13" s="19">
        <f t="shared" si="8"/>
        <v>0</v>
      </c>
      <c r="W13" s="24">
        <f t="shared" si="9"/>
        <v>0</v>
      </c>
    </row>
    <row r="14" spans="1:24" x14ac:dyDescent="0.25">
      <c r="A14" s="15">
        <v>13</v>
      </c>
      <c r="B14" s="15"/>
      <c r="C14" s="28"/>
      <c r="D14" s="29"/>
      <c r="E14" s="26"/>
      <c r="F14" s="26"/>
      <c r="G14" s="26"/>
      <c r="H14" s="30"/>
      <c r="J14" s="32">
        <f>(SUM(Data!C7,Data!C8,Data!C14,Data!C15,Data!C21) - MIN(Data!C7,Data!C8,Data!C14,Data!C15,Data!C21) - MAX(Data!C7,Data!C8,Data!C14,Data!C15,Data!C21))/3 + (SUM(Data!D7,Data!D8,Data!D14,Data!D15,Data!D21) - MIN(Data!D7,Data!D8,Data!D14,Data!D15,Data!D21) - MAX(Data!D7,Data!D8,Data!D14,Data!D15,Data!D21))/3 + (SUM(Data!E7,Data!E8,Data!E14,Data!E15,Data!E21) - MIN(Data!E7,Data!E8,Data!E14,Data!E15,Data!E21) - MAX(Data!E7,Data!E8,Data!E14,Data!E15,Data!E21))/3</f>
        <v>0</v>
      </c>
      <c r="K14" s="32">
        <f>(SUM(Data!H7,Data!H8,Data!H14,Data!H15,Data!H21) - MIN(Data!H7,Data!H8,Data!H14,Data!H15,Data!H21) - MAX(Data!H7,Data!H8,Data!H14,Data!H15,Data!H21))/3 + (SUM(Data!I7,Data!I8,Data!I14,Data!I15,Data!I21) - MIN(Data!I7,Data!I8,Data!I14,Data!I15,Data!I21) - MAX(Data!I7,Data!I8,Data!I14,Data!I15,Data!I21))/3 + (SUM(Data!J7,Data!J8,Data!J14,Data!J15,Data!J21) - MIN(Data!J7,Data!J8,Data!J14,Data!J15,Data!J21) - MAX(Data!J7,Data!J8,Data!J14,Data!J15,Data!J21))/3 + (SUM(Data!K7,Data!K8,Data!K14,Data!K15,Data!K21) - MIN(Data!K7,Data!K8,Data!K14,Data!K15,Data!K21) - MAX(Data!K7,Data!K8,Data!K14,Data!K15,Data!K21))/3</f>
        <v>0</v>
      </c>
      <c r="L14" s="32">
        <f>SUM(Data!C22:E22)</f>
        <v>0</v>
      </c>
      <c r="M14" s="32">
        <f>SUM(Data!H22:K22)</f>
        <v>0</v>
      </c>
      <c r="N14" s="19">
        <f t="shared" si="0"/>
        <v>0</v>
      </c>
      <c r="O14" s="19">
        <f t="shared" si="1"/>
        <v>0</v>
      </c>
      <c r="P14" s="19">
        <f t="shared" si="2"/>
        <v>0</v>
      </c>
      <c r="Q14" s="19">
        <f t="shared" si="3"/>
        <v>0</v>
      </c>
      <c r="R14" s="19">
        <f t="shared" si="4"/>
        <v>0</v>
      </c>
      <c r="S14" s="19">
        <f t="shared" si="5"/>
        <v>0</v>
      </c>
      <c r="T14" s="19">
        <f t="shared" si="6"/>
        <v>0</v>
      </c>
      <c r="U14" s="19">
        <f t="shared" si="7"/>
        <v>0</v>
      </c>
      <c r="V14" s="19">
        <f t="shared" si="8"/>
        <v>0</v>
      </c>
      <c r="W14" s="24">
        <f t="shared" si="9"/>
        <v>0</v>
      </c>
    </row>
    <row r="15" spans="1:24" x14ac:dyDescent="0.25">
      <c r="A15" s="15">
        <v>14</v>
      </c>
      <c r="B15" s="15"/>
      <c r="C15" s="28"/>
      <c r="D15" s="29"/>
      <c r="E15" s="26"/>
      <c r="F15" s="26"/>
      <c r="G15" s="26"/>
      <c r="H15" s="30"/>
      <c r="J15" s="32">
        <f>(SUM(Data!C5,Data!C6,Data!C9,Data!C10,Data!C12) - MIN(Data!C5,Data!C6,Data!C9,Data!C10,Data!C12) - MAX(Data!C5,Data!C6,Data!C9,Data!C10,Data!C12))/3 + (SUM(Data!D5,Data!D6,Data!D9,Data!D10,Data!D12) - MIN(Data!D5,Data!D6,Data!D9,Data!D10,Data!D12) - MAX(Data!D5,Data!D6,Data!D9,Data!D10,Data!D12))/3 + (SUM(Data!E5,Data!E6,Data!E9,Data!E10,Data!E12) - MIN(Data!E5,Data!E6,Data!E9,Data!E10,Data!E12) - MAX(Data!E5,Data!E6,Data!E9,Data!E10,Data!E12))/3</f>
        <v>0</v>
      </c>
      <c r="K15" s="32">
        <f>(SUM(Data!H5,Data!H6,Data!H9,Data!H10,Data!H12) - MIN(Data!H5,Data!H6,Data!H9,Data!H10,Data!H12) - MAX(Data!H5,Data!H6,Data!H9,Data!H10,Data!H12))/3 + (SUM(Data!I5,Data!I6,Data!I9,Data!I10,Data!I12) - MIN(Data!I5,Data!I6,Data!I9,Data!I10,Data!I12) - MAX(Data!I5,Data!I6,Data!I9,Data!I10,Data!I12))/3 + (SUM(Data!J5,Data!J6,Data!J9,Data!J10,Data!J12) - MIN(Data!J5,Data!J6,Data!J9,Data!J10,Data!J12) - MAX(Data!J5,Data!J6,Data!J9,Data!J10,Data!J12))/3 + (SUM(Data!K5,Data!K6,Data!K9,Data!K10,Data!K12) - MIN(Data!K5,Data!K6,Data!K9,Data!K10,Data!K12) - MAX(Data!K5,Data!K6,Data!K9,Data!K10,Data!K12))/3</f>
        <v>0</v>
      </c>
      <c r="L15" s="32">
        <f>SUM(Data!C17:E17)</f>
        <v>0</v>
      </c>
      <c r="M15" s="32">
        <f>SUM(Data!H17:K17)</f>
        <v>0</v>
      </c>
      <c r="N15" s="19">
        <f t="shared" si="0"/>
        <v>0</v>
      </c>
      <c r="O15" s="19">
        <f t="shared" si="1"/>
        <v>0</v>
      </c>
      <c r="P15" s="19">
        <f t="shared" si="2"/>
        <v>0</v>
      </c>
      <c r="Q15" s="19">
        <f t="shared" si="3"/>
        <v>0</v>
      </c>
      <c r="R15" s="19">
        <f t="shared" si="4"/>
        <v>0</v>
      </c>
      <c r="S15" s="19">
        <f t="shared" si="5"/>
        <v>0</v>
      </c>
      <c r="T15" s="19">
        <f t="shared" si="6"/>
        <v>0</v>
      </c>
      <c r="U15" s="19">
        <f t="shared" si="7"/>
        <v>0</v>
      </c>
      <c r="V15" s="19">
        <f t="shared" si="8"/>
        <v>0</v>
      </c>
      <c r="W15" s="24">
        <f t="shared" si="9"/>
        <v>0</v>
      </c>
    </row>
    <row r="16" spans="1:24" x14ac:dyDescent="0.25">
      <c r="A16" s="15">
        <v>15</v>
      </c>
      <c r="B16" s="15"/>
      <c r="C16" s="28"/>
      <c r="D16" s="29"/>
      <c r="E16" s="26"/>
      <c r="F16" s="26"/>
      <c r="G16" s="26"/>
      <c r="H16" s="30"/>
      <c r="J16" s="32">
        <f>(SUM(Data!N5,Data!N6,Data!N9,Data!N10,Data!N12) - MIN(Data!N5,Data!N6,Data!N9,Data!N10,Data!N12) - MAX(Data!N5,Data!N6,Data!N9,Data!N10,Data!N12))/3 + (SUM(Data!O5,Data!O6,Data!O9,Data!O10,Data!O12) - MIN(Data!O5,Data!O6,Data!O9,Data!O10,Data!O12) - MAX(Data!O5,Data!O6,Data!O9,Data!O10,Data!O12))/3</f>
        <v>0</v>
      </c>
      <c r="K16" s="32">
        <f>(SUM(Data!R5,Data!R6,Data!R9,Data!R10,Data!R12) - MIN(Data!R5,Data!R6,Data!R9,Data!R10,Data!R12) - MAX(Data!R5,Data!R6,Data!R9,Data!R10,Data!R12))/3 + (SUM(Data!S5,Data!S6,Data!S9,Data!S10,Data!S12) - MIN(Data!S5,Data!S6,Data!S9,Data!S10,Data!S12) - MAX(Data!S5,Data!S6,Data!S9,Data!S10,Data!S12))/3 + (SUM(Data!T5,Data!T6,Data!T9,Data!T10,Data!T12) - MIN(Data!T5,Data!T6,Data!T9,Data!T10,Data!T12) - MAX(Data!T5,Data!T6,Data!T9,Data!T10,Data!T12))/3 + (SUM(Data!U5,Data!U6,Data!U9,Data!U10,Data!U12) - MIN(Data!U5,Data!U6,Data!U9,Data!U10,Data!U12) - MAX(Data!U5,Data!U6,Data!U9,Data!U10,Data!U12))/3</f>
        <v>0</v>
      </c>
      <c r="L16" s="32">
        <f>SUM(Data!N16:O16)</f>
        <v>0</v>
      </c>
      <c r="M16" s="32">
        <f>SUM(Data!R16:U16)</f>
        <v>0</v>
      </c>
      <c r="N16" s="19">
        <f t="shared" si="0"/>
        <v>0</v>
      </c>
      <c r="O16" s="19">
        <f t="shared" si="1"/>
        <v>0</v>
      </c>
      <c r="P16" s="19">
        <f t="shared" si="2"/>
        <v>0</v>
      </c>
      <c r="Q16" s="19">
        <f t="shared" si="3"/>
        <v>0</v>
      </c>
      <c r="R16" s="19">
        <f t="shared" si="4"/>
        <v>0</v>
      </c>
      <c r="S16" s="19">
        <f t="shared" si="5"/>
        <v>0</v>
      </c>
      <c r="T16" s="19">
        <f t="shared" si="6"/>
        <v>0</v>
      </c>
      <c r="U16" s="19">
        <f t="shared" si="7"/>
        <v>0</v>
      </c>
      <c r="V16" s="19">
        <f t="shared" si="8"/>
        <v>0</v>
      </c>
      <c r="W16" s="24">
        <f t="shared" si="9"/>
        <v>0</v>
      </c>
    </row>
    <row r="17" spans="1:23" x14ac:dyDescent="0.25">
      <c r="A17" s="15">
        <v>16</v>
      </c>
      <c r="B17" s="15"/>
      <c r="C17" s="28"/>
      <c r="D17" s="29"/>
      <c r="E17" s="26"/>
      <c r="F17" s="26"/>
      <c r="G17" s="26"/>
      <c r="H17" s="30"/>
      <c r="J17" s="32">
        <f>(SUM(Data!C5,Data!C6,Data!C9,Data!C10,Data!C12) - MIN(Data!C5,Data!C6,Data!C9,Data!C10,Data!C12) - MAX(Data!C5,Data!C6,Data!C9,Data!C10,Data!C12))/3 + (SUM(Data!D5,Data!D6,Data!D9,Data!D10,Data!D12) - MIN(Data!D5,Data!D6,Data!D9,Data!D10,Data!D12) - MAX(Data!D5,Data!D6,Data!D9,Data!D10,Data!D12))/3 + (SUM(Data!E5,Data!E6,Data!E9,Data!E10,Data!E12) - MIN(Data!E5,Data!E6,Data!E9,Data!E10,Data!E12) - MAX(Data!E5,Data!E6,Data!E9,Data!E10,Data!E12))/3</f>
        <v>0</v>
      </c>
      <c r="K17" s="32">
        <f>(SUM(Data!H5,Data!H6,Data!H9,Data!H10,Data!H12) - MIN(Data!H5,Data!H6,Data!H9,Data!H10,Data!H12) - MAX(Data!H5,Data!H6,Data!H9,Data!H10,Data!H12))/3 + (SUM(Data!I5,Data!I6,Data!I9,Data!I10,Data!I12) - MIN(Data!I5,Data!I6,Data!I9,Data!I10,Data!I12) - MAX(Data!I5,Data!I6,Data!I9,Data!I10,Data!I12))/3 + (SUM(Data!J5,Data!J6,Data!J9,Data!J10,Data!J12) - MIN(Data!J5,Data!J6,Data!J9,Data!J10,Data!J12) - MAX(Data!J5,Data!J6,Data!J9,Data!J10,Data!J12))/3 + (SUM(Data!K5,Data!K6,Data!K9,Data!K10,Data!K12) - MIN(Data!K5,Data!K6,Data!K9,Data!K10,Data!K12) - MAX(Data!K5,Data!K6,Data!K9,Data!K10,Data!K12))/3</f>
        <v>0</v>
      </c>
      <c r="L17" s="32">
        <f>SUM(Data!C16:E16)</f>
        <v>0</v>
      </c>
      <c r="M17" s="32">
        <f>SUM(Data!H16:K16)</f>
        <v>0</v>
      </c>
      <c r="N17" s="19">
        <f t="shared" si="0"/>
        <v>0</v>
      </c>
      <c r="O17" s="19">
        <f t="shared" si="1"/>
        <v>0</v>
      </c>
      <c r="P17" s="19">
        <f t="shared" si="2"/>
        <v>0</v>
      </c>
      <c r="Q17" s="19">
        <f t="shared" si="3"/>
        <v>0</v>
      </c>
      <c r="R17" s="19">
        <f t="shared" si="4"/>
        <v>0</v>
      </c>
      <c r="S17" s="19">
        <f t="shared" si="5"/>
        <v>0</v>
      </c>
      <c r="T17" s="19">
        <f t="shared" si="6"/>
        <v>0</v>
      </c>
      <c r="U17" s="19">
        <f t="shared" si="7"/>
        <v>0</v>
      </c>
      <c r="V17" s="19">
        <f t="shared" si="8"/>
        <v>0</v>
      </c>
      <c r="W17" s="24">
        <f t="shared" si="9"/>
        <v>0</v>
      </c>
    </row>
    <row r="18" spans="1:23" x14ac:dyDescent="0.25">
      <c r="A18" s="15">
        <v>17</v>
      </c>
      <c r="B18" s="15"/>
      <c r="C18" s="28"/>
      <c r="D18" s="29"/>
      <c r="E18" s="26"/>
      <c r="F18" s="26"/>
      <c r="G18" s="26"/>
      <c r="H18" s="30"/>
      <c r="J18" s="32">
        <f>(SUM(Data!C5,Data!C6,Data!C9,Data!C10,Data!C12) - MIN(Data!C5,Data!C6,Data!C9,Data!C10,Data!C12) - MAX(Data!C5,Data!C6,Data!C9,Data!C10,Data!C12))/3 + (SUM(Data!D5,Data!D6,Data!D9,Data!D10,Data!D12) - MIN(Data!D5,Data!D6,Data!D9,Data!D10,Data!D12) - MAX(Data!D5,Data!D6,Data!D9,Data!D10,Data!D12))/3 + (SUM(Data!E5,Data!E6,Data!E9,Data!E10,Data!E12) - MIN(Data!E5,Data!E6,Data!E9,Data!E10,Data!E12) - MAX(Data!E5,Data!E6,Data!E9,Data!E10,Data!E12))/3</f>
        <v>0</v>
      </c>
      <c r="K18" s="32">
        <f>(SUM(Data!H5,Data!H6,Data!H9,Data!H10,Data!H12) - MIN(Data!H5,Data!H6,Data!H9,Data!H10,Data!H12) - MAX(Data!H5,Data!H6,Data!H9,Data!H10,Data!H12))/3 + (SUM(Data!I5,Data!I6,Data!I9,Data!I10,Data!I12) - MIN(Data!I5,Data!I6,Data!I9,Data!I10,Data!I12) - MAX(Data!I5,Data!I6,Data!I9,Data!I10,Data!I12))/3 + (SUM(Data!J5,Data!J6,Data!J9,Data!J10,Data!J12) - MIN(Data!J5,Data!J6,Data!J9,Data!J10,Data!J12) - MAX(Data!J5,Data!J6,Data!J9,Data!J10,Data!J12))/3 + (SUM(Data!K5,Data!K6,Data!K9,Data!K10,Data!K12) - MIN(Data!K5,Data!K6,Data!K9,Data!K10,Data!K12) - MAX(Data!K5,Data!K6,Data!K9,Data!K10,Data!K12))/3</f>
        <v>0</v>
      </c>
      <c r="L18" s="32">
        <f>SUM(Data!C13:E13)</f>
        <v>0</v>
      </c>
      <c r="M18" s="32">
        <f>SUM(Data!H13:K13)</f>
        <v>0</v>
      </c>
      <c r="N18" s="19">
        <f t="shared" si="0"/>
        <v>0</v>
      </c>
      <c r="O18" s="19">
        <f t="shared" si="1"/>
        <v>0</v>
      </c>
      <c r="P18" s="19">
        <f t="shared" si="2"/>
        <v>0</v>
      </c>
      <c r="Q18" s="19">
        <f t="shared" si="3"/>
        <v>0</v>
      </c>
      <c r="R18" s="19">
        <f t="shared" si="4"/>
        <v>0</v>
      </c>
      <c r="S18" s="19">
        <f t="shared" si="5"/>
        <v>0</v>
      </c>
      <c r="T18" s="19">
        <f t="shared" si="6"/>
        <v>0</v>
      </c>
      <c r="U18" s="19">
        <f t="shared" si="7"/>
        <v>0</v>
      </c>
      <c r="V18" s="19">
        <f t="shared" si="8"/>
        <v>0</v>
      </c>
      <c r="W18" s="24">
        <f t="shared" si="9"/>
        <v>0</v>
      </c>
    </row>
    <row r="19" spans="1:23" x14ac:dyDescent="0.25">
      <c r="A19" s="15">
        <v>18</v>
      </c>
      <c r="B19" s="15"/>
      <c r="C19" s="28"/>
      <c r="D19" s="29"/>
      <c r="E19" s="26"/>
      <c r="F19" s="26"/>
      <c r="G19" s="26"/>
      <c r="H19" s="30"/>
      <c r="J19" s="32">
        <f>(SUM(Data!C4,Data!C5,Data!C6,Data!C9,Data!C10) - MIN(Data!C4,Data!C5,Data!C6,Data!C9,Data!C10) - MAX(Data!C4,Data!C5,Data!C6,Data!C9,Data!C10))/3 + (SUM(Data!D4,Data!D5,Data!D6,Data!D9,Data!D10) - MIN(Data!D4,Data!D5,Data!D6,Data!D9,Data!D10) - MAX(Data!D4,Data!D5,Data!D6,Data!D9,Data!D10))/3 + (SUM(Data!E4,Data!E5,Data!E6,Data!E9,Data!E10) - MIN(Data!E4,Data!E5,Data!E6,Data!E9,Data!E10) - MAX(Data!E4,Data!E5,Data!E6,Data!E9,Data!E10))/3</f>
        <v>0</v>
      </c>
      <c r="K19" s="32">
        <f>(SUM(Data!H4,Data!H5,Data!H6,Data!H9,Data!H10) - MIN(Data!H4,Data!H5,Data!H6,Data!H9,Data!H10) - MAX(Data!H4,Data!H5,Data!H6,Data!H9,Data!H10))/3 + (SUM(Data!I4,Data!I5,Data!I6,Data!I9,Data!I10) - MIN(Data!I4,Data!I5,Data!I6,Data!I9,Data!I10) - MAX(Data!I4,Data!I5,Data!I6,Data!I9,Data!I10))/3 + (SUM(Data!J4,Data!J5,Data!J6,Data!J9,Data!J10) - MIN(Data!J4,Data!J5,Data!J6,Data!J9,Data!J10) - MAX(Data!J4,Data!J5,Data!J6,Data!J9,Data!J10))/3 + (SUM(Data!K4,Data!K5,Data!K6,Data!K9,Data!K10) - MIN(Data!K4,Data!K5,Data!K6,Data!K9,Data!K10) - MAX(Data!K4,Data!K5,Data!K6,Data!K9,Data!K10))/3</f>
        <v>0</v>
      </c>
      <c r="L19" s="32">
        <f>SUM(Data!C11:E11)</f>
        <v>0</v>
      </c>
      <c r="M19" s="32">
        <f>SUM(Data!H11:K11)</f>
        <v>0</v>
      </c>
      <c r="N19" s="19">
        <f t="shared" si="0"/>
        <v>0</v>
      </c>
      <c r="O19" s="19">
        <f t="shared" si="1"/>
        <v>0</v>
      </c>
      <c r="P19" s="19">
        <f t="shared" si="2"/>
        <v>0</v>
      </c>
      <c r="Q19" s="19">
        <f t="shared" si="3"/>
        <v>0</v>
      </c>
      <c r="R19" s="19">
        <f t="shared" si="4"/>
        <v>0</v>
      </c>
      <c r="S19" s="19">
        <f t="shared" si="5"/>
        <v>0</v>
      </c>
      <c r="T19" s="19">
        <f t="shared" si="6"/>
        <v>0</v>
      </c>
      <c r="U19" s="19">
        <f t="shared" si="7"/>
        <v>0</v>
      </c>
      <c r="V19" s="19">
        <f t="shared" si="8"/>
        <v>0</v>
      </c>
      <c r="W19" s="24">
        <f t="shared" si="9"/>
        <v>0</v>
      </c>
    </row>
    <row r="20" spans="1:23" x14ac:dyDescent="0.25">
      <c r="A20" s="15">
        <v>19</v>
      </c>
      <c r="B20" s="15"/>
      <c r="C20" s="28"/>
      <c r="D20" s="29"/>
      <c r="E20" s="26"/>
      <c r="F20" s="26"/>
      <c r="G20" s="26"/>
      <c r="H20" s="30"/>
      <c r="J20" s="32"/>
      <c r="K20" s="32"/>
      <c r="L20" s="32"/>
      <c r="M20" s="32"/>
      <c r="N20" s="19">
        <f t="shared" si="0"/>
        <v>0</v>
      </c>
      <c r="O20" s="19">
        <f t="shared" si="1"/>
        <v>0</v>
      </c>
      <c r="P20" s="19">
        <f t="shared" si="2"/>
        <v>0</v>
      </c>
      <c r="Q20" s="19">
        <f t="shared" si="3"/>
        <v>0</v>
      </c>
      <c r="R20" s="19">
        <f t="shared" si="4"/>
        <v>0</v>
      </c>
      <c r="S20" s="19">
        <f t="shared" si="5"/>
        <v>0</v>
      </c>
      <c r="T20" s="19">
        <f t="shared" si="6"/>
        <v>0</v>
      </c>
      <c r="U20" s="19">
        <f t="shared" si="7"/>
        <v>0</v>
      </c>
      <c r="V20" s="19">
        <f t="shared" si="8"/>
        <v>0</v>
      </c>
      <c r="W20" s="24">
        <f t="shared" si="9"/>
        <v>0</v>
      </c>
    </row>
    <row r="21" spans="1:23" x14ac:dyDescent="0.25">
      <c r="A21" s="15">
        <v>20</v>
      </c>
      <c r="B21" s="15"/>
      <c r="C21" s="28"/>
      <c r="D21" s="29"/>
      <c r="E21" s="26"/>
      <c r="F21" s="26"/>
      <c r="G21" s="26"/>
      <c r="H21" s="30"/>
      <c r="J21" s="32"/>
      <c r="K21" s="32"/>
      <c r="L21" s="32"/>
      <c r="M21" s="32"/>
      <c r="N21" s="19">
        <f t="shared" si="0"/>
        <v>0</v>
      </c>
      <c r="O21" s="19">
        <f t="shared" si="1"/>
        <v>0</v>
      </c>
      <c r="P21" s="19">
        <f t="shared" si="2"/>
        <v>0</v>
      </c>
      <c r="Q21" s="19">
        <f t="shared" si="3"/>
        <v>0</v>
      </c>
      <c r="R21" s="19">
        <f t="shared" si="4"/>
        <v>0</v>
      </c>
      <c r="S21" s="19">
        <f t="shared" si="5"/>
        <v>0</v>
      </c>
      <c r="T21" s="19">
        <f t="shared" si="6"/>
        <v>0</v>
      </c>
      <c r="U21" s="19">
        <f t="shared" si="7"/>
        <v>0</v>
      </c>
      <c r="V21" s="19">
        <f t="shared" si="8"/>
        <v>0</v>
      </c>
      <c r="W21" s="24">
        <f t="shared" si="9"/>
        <v>0</v>
      </c>
    </row>
    <row r="22" spans="1:23" x14ac:dyDescent="0.25">
      <c r="A22" s="15">
        <v>21</v>
      </c>
      <c r="B22" s="15"/>
      <c r="C22" s="28"/>
      <c r="D22" s="29"/>
      <c r="E22" s="26"/>
      <c r="F22" s="26"/>
      <c r="G22" s="26"/>
      <c r="H22" s="30"/>
      <c r="J22" s="32"/>
      <c r="K22" s="32"/>
      <c r="L22" s="32"/>
      <c r="M22" s="32"/>
      <c r="N22" s="19">
        <f t="shared" si="0"/>
        <v>0</v>
      </c>
      <c r="O22" s="19">
        <f t="shared" si="1"/>
        <v>0</v>
      </c>
      <c r="P22" s="19">
        <f t="shared" si="2"/>
        <v>0</v>
      </c>
      <c r="Q22" s="19">
        <f t="shared" si="3"/>
        <v>0</v>
      </c>
      <c r="R22" s="19">
        <f t="shared" si="4"/>
        <v>0</v>
      </c>
      <c r="S22" s="19">
        <f t="shared" si="5"/>
        <v>0</v>
      </c>
      <c r="T22" s="19">
        <f t="shared" si="6"/>
        <v>0</v>
      </c>
      <c r="U22" s="19">
        <f t="shared" si="7"/>
        <v>0</v>
      </c>
      <c r="V22" s="19">
        <f t="shared" si="8"/>
        <v>0</v>
      </c>
      <c r="W22" s="24">
        <f t="shared" si="9"/>
        <v>0</v>
      </c>
    </row>
    <row r="23" spans="1:23" x14ac:dyDescent="0.25">
      <c r="A23" s="15">
        <v>22</v>
      </c>
      <c r="B23" s="15"/>
      <c r="C23" s="28"/>
      <c r="D23" s="29"/>
      <c r="E23" s="26"/>
      <c r="F23" s="26"/>
      <c r="G23" s="26"/>
      <c r="H23" s="30"/>
      <c r="J23" s="32"/>
      <c r="K23" s="32"/>
      <c r="L23" s="32"/>
      <c r="M23" s="32"/>
      <c r="N23" s="19">
        <f t="shared" si="0"/>
        <v>0</v>
      </c>
      <c r="O23" s="19">
        <f t="shared" si="1"/>
        <v>0</v>
      </c>
      <c r="P23" s="19">
        <f t="shared" si="2"/>
        <v>0</v>
      </c>
      <c r="Q23" s="19">
        <f t="shared" si="3"/>
        <v>0</v>
      </c>
      <c r="R23" s="19">
        <f t="shared" si="4"/>
        <v>0</v>
      </c>
      <c r="S23" s="19">
        <f t="shared" si="5"/>
        <v>0</v>
      </c>
      <c r="T23" s="19">
        <f t="shared" si="6"/>
        <v>0</v>
      </c>
      <c r="U23" s="19">
        <f t="shared" si="7"/>
        <v>0</v>
      </c>
      <c r="V23" s="19">
        <f t="shared" si="8"/>
        <v>0</v>
      </c>
      <c r="W23" s="24">
        <f t="shared" si="9"/>
        <v>0</v>
      </c>
    </row>
    <row r="24" spans="1:23" x14ac:dyDescent="0.25">
      <c r="A24" s="15">
        <v>23</v>
      </c>
      <c r="B24" s="15"/>
      <c r="C24" s="28"/>
      <c r="D24" s="29"/>
      <c r="E24" s="26"/>
      <c r="F24" s="26"/>
      <c r="G24" s="26"/>
      <c r="H24" s="30"/>
      <c r="J24" s="32"/>
      <c r="K24" s="32"/>
      <c r="L24" s="32"/>
      <c r="M24" s="32"/>
      <c r="N24" s="19">
        <f t="shared" si="0"/>
        <v>0</v>
      </c>
      <c r="O24" s="19">
        <f t="shared" si="1"/>
        <v>0</v>
      </c>
      <c r="P24" s="19">
        <f t="shared" si="2"/>
        <v>0</v>
      </c>
      <c r="Q24" s="19">
        <f t="shared" si="3"/>
        <v>0</v>
      </c>
      <c r="R24" s="19">
        <f t="shared" si="4"/>
        <v>0</v>
      </c>
      <c r="S24" s="19">
        <f t="shared" si="5"/>
        <v>0</v>
      </c>
      <c r="T24" s="19">
        <f t="shared" si="6"/>
        <v>0</v>
      </c>
      <c r="U24" s="19">
        <f t="shared" si="7"/>
        <v>0</v>
      </c>
      <c r="V24" s="19">
        <f t="shared" si="8"/>
        <v>0</v>
      </c>
      <c r="W24" s="24">
        <f t="shared" si="9"/>
        <v>0</v>
      </c>
    </row>
    <row r="25" spans="1:23" x14ac:dyDescent="0.25">
      <c r="A25" s="15">
        <v>24</v>
      </c>
      <c r="B25" s="15"/>
      <c r="C25" s="28"/>
      <c r="D25" s="29"/>
      <c r="E25" s="26"/>
      <c r="F25" s="26"/>
      <c r="G25" s="26"/>
      <c r="H25" s="30"/>
      <c r="J25" s="32"/>
      <c r="K25" s="32"/>
      <c r="L25" s="32"/>
      <c r="M25" s="32"/>
      <c r="N25" s="19">
        <f t="shared" si="0"/>
        <v>0</v>
      </c>
      <c r="O25" s="19">
        <f t="shared" si="1"/>
        <v>0</v>
      </c>
      <c r="P25" s="19">
        <f t="shared" si="2"/>
        <v>0</v>
      </c>
      <c r="Q25" s="19">
        <f t="shared" si="3"/>
        <v>0</v>
      </c>
      <c r="R25" s="19">
        <f t="shared" si="4"/>
        <v>0</v>
      </c>
      <c r="S25" s="19">
        <f t="shared" si="5"/>
        <v>0</v>
      </c>
      <c r="T25" s="19">
        <f t="shared" si="6"/>
        <v>0</v>
      </c>
      <c r="U25" s="19">
        <f t="shared" si="7"/>
        <v>0</v>
      </c>
      <c r="V25" s="19">
        <f t="shared" si="8"/>
        <v>0</v>
      </c>
      <c r="W25" s="24">
        <f t="shared" si="9"/>
        <v>0</v>
      </c>
    </row>
    <row r="26" spans="1:23" x14ac:dyDescent="0.25">
      <c r="A26" s="15">
        <v>25</v>
      </c>
      <c r="B26" s="15"/>
      <c r="C26" s="28"/>
      <c r="D26" s="29"/>
      <c r="E26" s="26"/>
      <c r="F26" s="26"/>
      <c r="G26" s="26"/>
      <c r="H26" s="30"/>
      <c r="J26" s="32"/>
      <c r="K26" s="32"/>
      <c r="L26" s="32"/>
      <c r="M26" s="32"/>
      <c r="N26" s="19">
        <f t="shared" si="0"/>
        <v>0</v>
      </c>
      <c r="O26" s="19">
        <f t="shared" si="1"/>
        <v>0</v>
      </c>
      <c r="P26" s="19">
        <f t="shared" si="2"/>
        <v>0</v>
      </c>
      <c r="Q26" s="19">
        <f t="shared" si="3"/>
        <v>0</v>
      </c>
      <c r="R26" s="19">
        <f t="shared" si="4"/>
        <v>0</v>
      </c>
      <c r="S26" s="19">
        <f t="shared" si="5"/>
        <v>0</v>
      </c>
      <c r="T26" s="19">
        <f t="shared" si="6"/>
        <v>0</v>
      </c>
      <c r="U26" s="19">
        <f t="shared" si="7"/>
        <v>0</v>
      </c>
      <c r="V26" s="19">
        <f t="shared" si="8"/>
        <v>0</v>
      </c>
      <c r="W26" s="24">
        <f t="shared" si="9"/>
        <v>0</v>
      </c>
    </row>
    <row r="27" spans="1:23" x14ac:dyDescent="0.25">
      <c r="A27" s="15">
        <v>26</v>
      </c>
      <c r="B27" s="15"/>
      <c r="C27" s="28"/>
      <c r="D27" s="29"/>
      <c r="E27" s="26"/>
      <c r="F27" s="26"/>
      <c r="G27" s="26"/>
      <c r="H27" s="30"/>
      <c r="J27" s="32"/>
      <c r="K27" s="32"/>
      <c r="L27" s="32"/>
      <c r="M27" s="32"/>
      <c r="N27" s="19">
        <f t="shared" si="0"/>
        <v>0</v>
      </c>
      <c r="O27" s="19">
        <f t="shared" si="1"/>
        <v>0</v>
      </c>
      <c r="P27" s="19">
        <f t="shared" si="2"/>
        <v>0</v>
      </c>
      <c r="Q27" s="19">
        <f t="shared" si="3"/>
        <v>0</v>
      </c>
      <c r="R27" s="19">
        <f t="shared" si="4"/>
        <v>0</v>
      </c>
      <c r="S27" s="19">
        <f t="shared" si="5"/>
        <v>0</v>
      </c>
      <c r="T27" s="19">
        <f t="shared" si="6"/>
        <v>0</v>
      </c>
      <c r="U27" s="19">
        <f t="shared" si="7"/>
        <v>0</v>
      </c>
      <c r="V27" s="19">
        <f t="shared" si="8"/>
        <v>0</v>
      </c>
      <c r="W27" s="24">
        <f t="shared" si="9"/>
        <v>0</v>
      </c>
    </row>
    <row r="28" spans="1:23" x14ac:dyDescent="0.25">
      <c r="A28" s="15">
        <v>27</v>
      </c>
      <c r="B28" s="15"/>
      <c r="C28" s="28"/>
      <c r="D28" s="29"/>
      <c r="E28" s="26"/>
      <c r="F28" s="26"/>
      <c r="G28" s="26"/>
      <c r="H28" s="30"/>
      <c r="J28" s="32"/>
      <c r="K28" s="32"/>
      <c r="L28" s="32"/>
      <c r="M28" s="32"/>
      <c r="N28" s="19">
        <f t="shared" si="0"/>
        <v>0</v>
      </c>
      <c r="O28" s="19">
        <f t="shared" si="1"/>
        <v>0</v>
      </c>
      <c r="P28" s="19">
        <f t="shared" si="2"/>
        <v>0</v>
      </c>
      <c r="Q28" s="19">
        <f t="shared" si="3"/>
        <v>0</v>
      </c>
      <c r="R28" s="19">
        <f t="shared" si="4"/>
        <v>0</v>
      </c>
      <c r="S28" s="19">
        <f t="shared" si="5"/>
        <v>0</v>
      </c>
      <c r="T28" s="19">
        <f t="shared" si="6"/>
        <v>0</v>
      </c>
      <c r="U28" s="19">
        <f t="shared" si="7"/>
        <v>0</v>
      </c>
      <c r="V28" s="19">
        <f t="shared" si="8"/>
        <v>0</v>
      </c>
      <c r="W28" s="24">
        <f t="shared" si="9"/>
        <v>0</v>
      </c>
    </row>
    <row r="29" spans="1:23" x14ac:dyDescent="0.25">
      <c r="A29" s="15">
        <v>28</v>
      </c>
      <c r="B29" s="15"/>
      <c r="C29" s="28"/>
      <c r="D29" s="29"/>
      <c r="E29" s="26"/>
      <c r="F29" s="26"/>
      <c r="G29" s="26"/>
      <c r="H29" s="30"/>
      <c r="J29" s="32"/>
      <c r="K29" s="32"/>
      <c r="L29" s="32"/>
      <c r="M29" s="32"/>
      <c r="N29" s="19">
        <f t="shared" si="0"/>
        <v>0</v>
      </c>
      <c r="O29" s="19">
        <f t="shared" si="1"/>
        <v>0</v>
      </c>
      <c r="P29" s="19">
        <f t="shared" si="2"/>
        <v>0</v>
      </c>
      <c r="Q29" s="19">
        <f t="shared" si="3"/>
        <v>0</v>
      </c>
      <c r="R29" s="19">
        <f t="shared" si="4"/>
        <v>0</v>
      </c>
      <c r="S29" s="19">
        <f t="shared" si="5"/>
        <v>0</v>
      </c>
      <c r="T29" s="19">
        <f t="shared" si="6"/>
        <v>0</v>
      </c>
      <c r="U29" s="19">
        <f t="shared" si="7"/>
        <v>0</v>
      </c>
      <c r="V29" s="19">
        <f t="shared" si="8"/>
        <v>0</v>
      </c>
      <c r="W29" s="24">
        <f t="shared" si="9"/>
        <v>0</v>
      </c>
    </row>
    <row r="30" spans="1:23" x14ac:dyDescent="0.25">
      <c r="A30" s="15">
        <v>29</v>
      </c>
      <c r="B30" s="15"/>
      <c r="C30" s="28"/>
      <c r="D30" s="29"/>
      <c r="E30" s="26"/>
      <c r="F30" s="26"/>
      <c r="G30" s="26"/>
      <c r="H30" s="30"/>
      <c r="J30" s="32"/>
      <c r="K30" s="32"/>
      <c r="L30" s="32"/>
      <c r="M30" s="32"/>
      <c r="N30" s="19">
        <f t="shared" si="0"/>
        <v>0</v>
      </c>
      <c r="O30" s="19">
        <f t="shared" si="1"/>
        <v>0</v>
      </c>
      <c r="P30" s="19">
        <f t="shared" si="2"/>
        <v>0</v>
      </c>
      <c r="Q30" s="19">
        <f t="shared" si="3"/>
        <v>0</v>
      </c>
      <c r="R30" s="19">
        <f t="shared" si="4"/>
        <v>0</v>
      </c>
      <c r="S30" s="19">
        <f t="shared" si="5"/>
        <v>0</v>
      </c>
      <c r="T30" s="19">
        <f t="shared" si="6"/>
        <v>0</v>
      </c>
      <c r="U30" s="19">
        <f t="shared" si="7"/>
        <v>0</v>
      </c>
      <c r="V30" s="19">
        <f t="shared" si="8"/>
        <v>0</v>
      </c>
      <c r="W30" s="24">
        <f t="shared" si="9"/>
        <v>0</v>
      </c>
    </row>
    <row r="31" spans="1:23" x14ac:dyDescent="0.25">
      <c r="A31" s="15">
        <v>30</v>
      </c>
      <c r="B31" s="15"/>
      <c r="C31" s="28"/>
      <c r="D31" s="29"/>
      <c r="E31" s="26"/>
      <c r="F31" s="26"/>
      <c r="G31" s="26"/>
      <c r="H31" s="30"/>
      <c r="J31" s="32"/>
      <c r="K31" s="32"/>
      <c r="L31" s="32"/>
      <c r="M31" s="32"/>
      <c r="N31" s="19">
        <f t="shared" si="0"/>
        <v>0</v>
      </c>
      <c r="O31" s="19">
        <f t="shared" si="1"/>
        <v>0</v>
      </c>
      <c r="P31" s="19">
        <f t="shared" si="2"/>
        <v>0</v>
      </c>
      <c r="Q31" s="19">
        <f t="shared" si="3"/>
        <v>0</v>
      </c>
      <c r="R31" s="19">
        <f t="shared" si="4"/>
        <v>0</v>
      </c>
      <c r="S31" s="19">
        <f t="shared" si="5"/>
        <v>0</v>
      </c>
      <c r="T31" s="19">
        <f t="shared" si="6"/>
        <v>0</v>
      </c>
      <c r="U31" s="19">
        <f t="shared" si="7"/>
        <v>0</v>
      </c>
      <c r="V31" s="19">
        <f t="shared" si="8"/>
        <v>0</v>
      </c>
      <c r="W31" s="24">
        <f t="shared" si="9"/>
        <v>0</v>
      </c>
    </row>
    <row r="32" spans="1:23" x14ac:dyDescent="0.25">
      <c r="G32" s="16" t="s">
        <v>84</v>
      </c>
      <c r="H32" s="24">
        <f>SUM(H2:H31)</f>
        <v>0</v>
      </c>
      <c r="U32" s="16" t="s">
        <v>85</v>
      </c>
      <c r="V32" s="24">
        <f>SUM(V2:V31)</f>
        <v>0</v>
      </c>
      <c r="W32" s="24">
        <f>SUM(W2:W31)</f>
        <v>0</v>
      </c>
    </row>
    <row r="34" spans="1:3" ht="15.75" x14ac:dyDescent="0.25">
      <c r="A34" s="78" t="s">
        <v>111</v>
      </c>
      <c r="B34" s="33"/>
      <c r="C34" s="33"/>
    </row>
    <row r="35" spans="1:3" x14ac:dyDescent="0.25">
      <c r="A35" s="33"/>
      <c r="B35" s="33"/>
      <c r="C35" s="33"/>
    </row>
    <row r="36" spans="1:3" x14ac:dyDescent="0.25">
      <c r="A36" s="33" t="s">
        <v>112</v>
      </c>
      <c r="B36" s="33"/>
      <c r="C36" s="33"/>
    </row>
    <row r="37" spans="1:3" x14ac:dyDescent="0.25">
      <c r="A37" s="33"/>
      <c r="B37" s="79" t="s">
        <v>113</v>
      </c>
      <c r="C37" s="33"/>
    </row>
    <row r="38" spans="1:3" x14ac:dyDescent="0.25">
      <c r="A38" s="33"/>
      <c r="B38" s="33"/>
      <c r="C38" s="33"/>
    </row>
    <row r="39" spans="1:3" x14ac:dyDescent="0.25">
      <c r="A39" s="33" t="s">
        <v>114</v>
      </c>
      <c r="B39" s="33"/>
      <c r="C39" s="33"/>
    </row>
    <row r="40" spans="1:3" x14ac:dyDescent="0.25">
      <c r="A40" s="33"/>
      <c r="B40" s="33" t="s">
        <v>115</v>
      </c>
      <c r="C40" s="33"/>
    </row>
    <row r="41" spans="1:3" x14ac:dyDescent="0.25">
      <c r="A41" s="33"/>
      <c r="B41" s="33"/>
      <c r="C41" s="33"/>
    </row>
    <row r="42" spans="1:3" x14ac:dyDescent="0.25">
      <c r="A42" s="80" t="s">
        <v>116</v>
      </c>
      <c r="B42" s="33"/>
      <c r="C42" s="33"/>
    </row>
    <row r="43" spans="1:3" x14ac:dyDescent="0.25">
      <c r="A43" s="33"/>
      <c r="B43" s="33"/>
      <c r="C43" s="33"/>
    </row>
    <row r="44" spans="1:3" x14ac:dyDescent="0.25">
      <c r="A44" s="88" t="s">
        <v>74</v>
      </c>
      <c r="B44" s="88"/>
      <c r="C44" s="33" t="s">
        <v>117</v>
      </c>
    </row>
    <row r="45" spans="1:3" x14ac:dyDescent="0.25">
      <c r="A45" s="88" t="s">
        <v>75</v>
      </c>
      <c r="B45" s="88"/>
      <c r="C45" s="33" t="s">
        <v>118</v>
      </c>
    </row>
    <row r="46" spans="1:3" x14ac:dyDescent="0.25">
      <c r="A46" s="88" t="s">
        <v>16</v>
      </c>
      <c r="B46" s="88"/>
      <c r="C46" s="85" t="s">
        <v>352</v>
      </c>
    </row>
    <row r="47" spans="1:3" x14ac:dyDescent="0.25">
      <c r="A47" s="88" t="s">
        <v>17</v>
      </c>
      <c r="B47" s="88"/>
      <c r="C47" s="84" t="s">
        <v>119</v>
      </c>
    </row>
    <row r="48" spans="1:3" x14ac:dyDescent="0.25">
      <c r="A48" s="88" t="s">
        <v>86</v>
      </c>
      <c r="B48" s="88"/>
      <c r="C48" s="33" t="s">
        <v>122</v>
      </c>
    </row>
    <row r="49" spans="1:3" x14ac:dyDescent="0.25">
      <c r="A49" s="88" t="s">
        <v>87</v>
      </c>
      <c r="B49" s="88"/>
      <c r="C49" s="33" t="s">
        <v>120</v>
      </c>
    </row>
    <row r="50" spans="1:3" x14ac:dyDescent="0.25">
      <c r="A50" s="88" t="s">
        <v>88</v>
      </c>
      <c r="B50" s="88"/>
      <c r="C50" s="33" t="s">
        <v>121</v>
      </c>
    </row>
    <row r="51" spans="1:3" x14ac:dyDescent="0.25">
      <c r="A51" s="88" t="s">
        <v>13</v>
      </c>
      <c r="B51" s="88"/>
      <c r="C51" s="33" t="s">
        <v>123</v>
      </c>
    </row>
    <row r="52" spans="1:3" x14ac:dyDescent="0.25">
      <c r="A52" s="89"/>
      <c r="B52" s="89"/>
      <c r="C52" s="33"/>
    </row>
    <row r="53" spans="1:3" x14ac:dyDescent="0.25">
      <c r="A53" s="88" t="s">
        <v>6</v>
      </c>
      <c r="B53" s="88"/>
      <c r="C53" s="33" t="s">
        <v>124</v>
      </c>
    </row>
    <row r="54" spans="1:3" x14ac:dyDescent="0.25">
      <c r="A54" s="88" t="s">
        <v>7</v>
      </c>
      <c r="B54" s="88"/>
      <c r="C54" s="33" t="s">
        <v>125</v>
      </c>
    </row>
    <row r="55" spans="1:3" x14ac:dyDescent="0.25">
      <c r="A55" s="88" t="s">
        <v>8</v>
      </c>
      <c r="B55" s="88"/>
      <c r="C55" s="33" t="s">
        <v>126</v>
      </c>
    </row>
    <row r="56" spans="1:3" x14ac:dyDescent="0.25">
      <c r="A56" s="88" t="s">
        <v>9</v>
      </c>
      <c r="B56" s="88"/>
      <c r="C56" s="33" t="s">
        <v>127</v>
      </c>
    </row>
    <row r="57" spans="1:3" x14ac:dyDescent="0.25">
      <c r="A57" s="88" t="s">
        <v>76</v>
      </c>
      <c r="B57" s="88"/>
      <c r="C57" s="33" t="s">
        <v>128</v>
      </c>
    </row>
    <row r="58" spans="1:3" x14ac:dyDescent="0.25">
      <c r="A58" s="88" t="s">
        <v>77</v>
      </c>
      <c r="B58" s="88"/>
      <c r="C58" s="33" t="s">
        <v>322</v>
      </c>
    </row>
    <row r="59" spans="1:3" x14ac:dyDescent="0.25">
      <c r="A59" s="88" t="s">
        <v>78</v>
      </c>
      <c r="B59" s="88"/>
      <c r="C59" s="33" t="s">
        <v>323</v>
      </c>
    </row>
    <row r="60" spans="1:3" x14ac:dyDescent="0.25">
      <c r="A60" s="88" t="s">
        <v>79</v>
      </c>
      <c r="B60" s="88"/>
      <c r="C60" s="33" t="s">
        <v>324</v>
      </c>
    </row>
    <row r="61" spans="1:3" x14ac:dyDescent="0.25">
      <c r="A61" s="88" t="s">
        <v>80</v>
      </c>
      <c r="B61" s="88"/>
      <c r="C61" s="33" t="s">
        <v>129</v>
      </c>
    </row>
    <row r="62" spans="1:3" x14ac:dyDescent="0.25">
      <c r="A62" s="88" t="s">
        <v>81</v>
      </c>
      <c r="B62" s="88"/>
      <c r="C62" s="33" t="s">
        <v>130</v>
      </c>
    </row>
    <row r="63" spans="1:3" x14ac:dyDescent="0.25">
      <c r="A63" s="88" t="s">
        <v>82</v>
      </c>
      <c r="B63" s="88"/>
      <c r="C63" s="33" t="s">
        <v>131</v>
      </c>
    </row>
    <row r="64" spans="1:3" x14ac:dyDescent="0.25">
      <c r="A64" s="88" t="s">
        <v>83</v>
      </c>
      <c r="B64" s="88"/>
      <c r="C64" s="33" t="s">
        <v>325</v>
      </c>
    </row>
    <row r="65" spans="1:3" x14ac:dyDescent="0.25">
      <c r="A65" s="88" t="s">
        <v>13</v>
      </c>
      <c r="B65" s="88"/>
      <c r="C65" s="33" t="s">
        <v>132</v>
      </c>
    </row>
    <row r="66" spans="1:3" x14ac:dyDescent="0.25">
      <c r="A66" s="88" t="s">
        <v>15</v>
      </c>
      <c r="B66" s="88"/>
      <c r="C66" s="33" t="s">
        <v>133</v>
      </c>
    </row>
    <row r="67" spans="1:3" x14ac:dyDescent="0.25">
      <c r="A67" s="33"/>
      <c r="B67" s="33"/>
      <c r="C67" s="33"/>
    </row>
    <row r="68" spans="1:3" ht="15.75" x14ac:dyDescent="0.25">
      <c r="A68" s="81" t="s">
        <v>138</v>
      </c>
      <c r="B68" s="33" t="s">
        <v>139</v>
      </c>
      <c r="C68" s="33"/>
    </row>
    <row r="69" spans="1:3" x14ac:dyDescent="0.25">
      <c r="A69" s="33"/>
      <c r="B69" s="33" t="s">
        <v>141</v>
      </c>
      <c r="C69" s="33"/>
    </row>
    <row r="70" spans="1:3" x14ac:dyDescent="0.25">
      <c r="A70" s="33"/>
      <c r="B70" s="33" t="s">
        <v>140</v>
      </c>
      <c r="C70" s="33"/>
    </row>
    <row r="71" spans="1:3" x14ac:dyDescent="0.25">
      <c r="A71" s="33"/>
      <c r="B71" s="33"/>
      <c r="C71" s="33"/>
    </row>
    <row r="72" spans="1:3" x14ac:dyDescent="0.25">
      <c r="A72" s="33"/>
      <c r="B72" s="33"/>
      <c r="C72" s="33"/>
    </row>
    <row r="73" spans="1:3" x14ac:dyDescent="0.25">
      <c r="A73" s="33"/>
      <c r="B73" s="33"/>
      <c r="C73" s="33"/>
    </row>
    <row r="74" spans="1:3" ht="15.75" x14ac:dyDescent="0.25">
      <c r="A74" s="1"/>
    </row>
    <row r="77" spans="1:3" x14ac:dyDescent="0.25">
      <c r="B77" s="34"/>
    </row>
  </sheetData>
  <sheetProtection sheet="1" scenarios="1"/>
  <mergeCells count="23">
    <mergeCell ref="A54:B54"/>
    <mergeCell ref="A44:B44"/>
    <mergeCell ref="A45:B45"/>
    <mergeCell ref="A46:B46"/>
    <mergeCell ref="A47:B47"/>
    <mergeCell ref="A48:B48"/>
    <mergeCell ref="A49:B49"/>
    <mergeCell ref="A50:B50"/>
    <mergeCell ref="A51:B51"/>
    <mergeCell ref="A52:B52"/>
    <mergeCell ref="A53:B53"/>
    <mergeCell ref="A66:B66"/>
    <mergeCell ref="A55:B55"/>
    <mergeCell ref="A56:B56"/>
    <mergeCell ref="A57:B57"/>
    <mergeCell ref="A58:B58"/>
    <mergeCell ref="A59:B59"/>
    <mergeCell ref="A60:B60"/>
    <mergeCell ref="A61:B61"/>
    <mergeCell ref="A62:B62"/>
    <mergeCell ref="A63:B63"/>
    <mergeCell ref="A64:B64"/>
    <mergeCell ref="A65:B6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AllFromData">
                <anchor moveWithCells="1">
                  <from>
                    <xdr:col>8</xdr:col>
                    <xdr:colOff>66675</xdr:colOff>
                    <xdr:row>0</xdr:row>
                    <xdr:rowOff>85725</xdr:rowOff>
                  </from>
                  <to>
                    <xdr:col>9</xdr:col>
                    <xdr:colOff>0</xdr:colOff>
                    <xdr:row>1</xdr:row>
                    <xdr:rowOff>171450</xdr:rowOff>
                  </to>
                </anchor>
              </controlPr>
            </control>
          </mc:Choice>
        </mc:AlternateContent>
        <mc:AlternateContent xmlns:mc="http://schemas.openxmlformats.org/markup-compatibility/2006">
          <mc:Choice Requires="x14">
            <control shapeId="5122" r:id="rId5" name="Button 2">
              <controlPr defaultSize="0" print="0" autoFill="0" autoPict="0" macro="[0]!loadEventIntoSimulator">
                <anchor moveWithCells="1">
                  <from>
                    <xdr:col>8</xdr:col>
                    <xdr:colOff>600075</xdr:colOff>
                    <xdr:row>31</xdr:row>
                    <xdr:rowOff>152400</xdr:rowOff>
                  </from>
                  <to>
                    <xdr:col>13</xdr:col>
                    <xdr:colOff>342900</xdr:colOff>
                    <xdr:row>33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41"/>
  <sheetViews>
    <sheetView zoomScale="90" zoomScaleNormal="90" workbookViewId="0">
      <selection activeCell="A5" sqref="A5"/>
    </sheetView>
  </sheetViews>
  <sheetFormatPr defaultRowHeight="15" x14ac:dyDescent="0.25"/>
  <cols>
    <col min="1" max="1" width="18.5703125" customWidth="1"/>
    <col min="2" max="3" width="11.28515625" customWidth="1"/>
    <col min="4" max="4" width="13.7109375" customWidth="1"/>
    <col min="5" max="5" width="10.7109375" customWidth="1"/>
    <col min="6" max="6" width="11.85546875" customWidth="1"/>
    <col min="7" max="7" width="13.42578125" customWidth="1"/>
    <col min="8" max="8" width="12.42578125" customWidth="1"/>
    <col min="9" max="9" width="12.5703125" customWidth="1"/>
    <col min="10" max="10" width="13.28515625" customWidth="1"/>
    <col min="11" max="11" width="13.7109375" bestFit="1" customWidth="1"/>
    <col min="12" max="14" width="10.5703125" bestFit="1" customWidth="1"/>
    <col min="15" max="15" width="11.5703125" customWidth="1"/>
    <col min="16" max="16" width="3.140625" customWidth="1"/>
    <col min="17" max="17" width="3.28515625" customWidth="1"/>
    <col min="20" max="20" width="19.140625" customWidth="1"/>
  </cols>
  <sheetData>
    <row r="1" spans="1:16" ht="15.75" x14ac:dyDescent="0.25">
      <c r="A1" s="1" t="s">
        <v>14</v>
      </c>
    </row>
    <row r="2" spans="1:16" ht="15.75" x14ac:dyDescent="0.25">
      <c r="I2" s="17"/>
    </row>
    <row r="3" spans="1:16" ht="15.75" x14ac:dyDescent="0.25">
      <c r="F3" s="78" t="s">
        <v>89</v>
      </c>
      <c r="G3" s="33"/>
      <c r="H3" s="33"/>
      <c r="I3" s="80"/>
      <c r="J3" s="33"/>
      <c r="K3" s="33"/>
      <c r="L3" s="33"/>
    </row>
    <row r="4" spans="1:16" ht="15" customHeight="1" x14ac:dyDescent="0.25">
      <c r="A4" s="62"/>
      <c r="B4" s="93" t="s">
        <v>302</v>
      </c>
      <c r="C4" s="94"/>
      <c r="D4" s="95"/>
      <c r="E4" s="2"/>
      <c r="F4" s="90" t="s">
        <v>334</v>
      </c>
      <c r="G4" s="91"/>
      <c r="H4" s="91"/>
      <c r="I4" s="91"/>
      <c r="J4" s="91"/>
      <c r="K4" s="91"/>
      <c r="L4" s="92"/>
      <c r="P4" s="2"/>
    </row>
    <row r="5" spans="1:16" ht="18" x14ac:dyDescent="0.25">
      <c r="A5" s="60"/>
      <c r="B5" s="93" t="s">
        <v>1</v>
      </c>
      <c r="C5" s="94"/>
      <c r="D5" s="95"/>
      <c r="E5" s="67" t="s">
        <v>340</v>
      </c>
      <c r="F5" s="90" t="s">
        <v>333</v>
      </c>
      <c r="G5" s="91"/>
      <c r="H5" s="91"/>
      <c r="I5" s="91"/>
      <c r="J5" s="91"/>
      <c r="K5" s="91"/>
      <c r="L5" s="92"/>
      <c r="P5" s="2"/>
    </row>
    <row r="6" spans="1:16" x14ac:dyDescent="0.25">
      <c r="A6" s="57"/>
      <c r="B6" s="93" t="s">
        <v>296</v>
      </c>
      <c r="C6" s="94"/>
      <c r="D6" s="95"/>
      <c r="E6" s="2"/>
      <c r="F6" s="90" t="s">
        <v>336</v>
      </c>
      <c r="G6" s="91"/>
      <c r="H6" s="91"/>
      <c r="I6" s="91"/>
      <c r="J6" s="91"/>
      <c r="K6" s="91"/>
      <c r="L6" s="92"/>
      <c r="P6" s="2"/>
    </row>
    <row r="7" spans="1:16" ht="15" customHeight="1" x14ac:dyDescent="0.25">
      <c r="A7" s="58"/>
      <c r="B7" s="93" t="s">
        <v>297</v>
      </c>
      <c r="C7" s="94"/>
      <c r="D7" s="95"/>
      <c r="E7" s="2"/>
      <c r="F7" s="103" t="s">
        <v>337</v>
      </c>
      <c r="G7" s="104"/>
      <c r="H7" s="104"/>
      <c r="I7" s="104"/>
      <c r="J7" s="104"/>
      <c r="K7" s="104"/>
      <c r="L7" s="105"/>
      <c r="P7" s="2"/>
    </row>
    <row r="8" spans="1:16" x14ac:dyDescent="0.25">
      <c r="A8" s="27"/>
      <c r="B8" s="96" t="s">
        <v>20</v>
      </c>
      <c r="C8" s="97"/>
      <c r="D8" s="98"/>
      <c r="E8" s="2"/>
      <c r="F8" s="106"/>
      <c r="G8" s="107"/>
      <c r="H8" s="107"/>
      <c r="I8" s="107"/>
      <c r="J8" s="107"/>
      <c r="K8" s="107"/>
      <c r="L8" s="108"/>
      <c r="P8" s="2"/>
    </row>
    <row r="9" spans="1:16" ht="18" customHeight="1" x14ac:dyDescent="0.25">
      <c r="A9" s="27"/>
      <c r="B9" s="99" t="s">
        <v>21</v>
      </c>
      <c r="C9" s="100"/>
      <c r="D9" s="101"/>
      <c r="E9" s="67" t="s">
        <v>340</v>
      </c>
      <c r="F9" s="109" t="s">
        <v>338</v>
      </c>
      <c r="G9" s="110"/>
      <c r="H9" s="110"/>
      <c r="I9" s="110"/>
      <c r="J9" s="110"/>
      <c r="K9" s="110"/>
      <c r="L9" s="111"/>
      <c r="P9" s="2"/>
    </row>
    <row r="10" spans="1:16" ht="19.5" customHeight="1" x14ac:dyDescent="0.25">
      <c r="A10" s="59"/>
      <c r="B10" s="96" t="s">
        <v>18</v>
      </c>
      <c r="C10" s="97"/>
      <c r="D10" s="98"/>
      <c r="E10" s="2"/>
      <c r="F10" s="112"/>
      <c r="G10" s="113"/>
      <c r="H10" s="113"/>
      <c r="I10" s="113"/>
      <c r="J10" s="113"/>
      <c r="K10" s="113"/>
      <c r="L10" s="114"/>
      <c r="P10" s="2"/>
    </row>
    <row r="11" spans="1:16" ht="18" customHeight="1" x14ac:dyDescent="0.25">
      <c r="A11" s="27"/>
      <c r="B11" s="99" t="s">
        <v>19</v>
      </c>
      <c r="C11" s="100"/>
      <c r="D11" s="101"/>
      <c r="E11" s="67" t="s">
        <v>340</v>
      </c>
      <c r="F11" s="103" t="s">
        <v>339</v>
      </c>
      <c r="G11" s="104"/>
      <c r="H11" s="104"/>
      <c r="I11" s="104"/>
      <c r="J11" s="104"/>
      <c r="K11" s="104"/>
      <c r="L11" s="105"/>
      <c r="P11" s="2"/>
    </row>
    <row r="12" spans="1:16" x14ac:dyDescent="0.25">
      <c r="A12" s="18">
        <f>C16</f>
        <v>20</v>
      </c>
      <c r="B12" s="93" t="s">
        <v>22</v>
      </c>
      <c r="C12" s="94"/>
      <c r="D12" s="95"/>
      <c r="E12" s="2"/>
      <c r="F12" s="106"/>
      <c r="G12" s="107"/>
      <c r="H12" s="107"/>
      <c r="I12" s="107"/>
      <c r="J12" s="107"/>
      <c r="K12" s="107"/>
      <c r="L12" s="108"/>
      <c r="P12" s="2"/>
    </row>
    <row r="13" spans="1:16" x14ac:dyDescent="0.25">
      <c r="A13" s="61">
        <v>0.56786000000000003</v>
      </c>
      <c r="B13" s="93" t="s">
        <v>0</v>
      </c>
      <c r="C13" s="94"/>
      <c r="D13" s="95"/>
      <c r="E13" s="2"/>
      <c r="F13" s="115" t="s">
        <v>303</v>
      </c>
      <c r="G13" s="115"/>
      <c r="H13" s="115"/>
      <c r="I13" s="115"/>
      <c r="J13" s="115"/>
      <c r="K13" s="115"/>
      <c r="L13" s="115"/>
      <c r="P13" s="2"/>
    </row>
    <row r="14" spans="1:16" x14ac:dyDescent="0.25">
      <c r="E14" s="2"/>
      <c r="F14" s="115"/>
      <c r="G14" s="115"/>
      <c r="H14" s="115"/>
      <c r="I14" s="115"/>
      <c r="J14" s="115"/>
      <c r="K14" s="115"/>
      <c r="L14" s="115"/>
    </row>
    <row r="15" spans="1:16" x14ac:dyDescent="0.25">
      <c r="C15" s="66" t="s">
        <v>330</v>
      </c>
      <c r="D15" s="66" t="s">
        <v>72</v>
      </c>
      <c r="F15" s="115"/>
      <c r="G15" s="115"/>
      <c r="H15" s="115"/>
      <c r="I15" s="115"/>
      <c r="J15" s="115"/>
      <c r="K15" s="115"/>
      <c r="L15" s="115"/>
    </row>
    <row r="16" spans="1:16" x14ac:dyDescent="0.25">
      <c r="C16" s="64">
        <f>IF($A$5="AM",((40+A10-A7)*0.75+A6),((40+A10-A7)*0.5+A6))</f>
        <v>20</v>
      </c>
      <c r="D16" s="12">
        <f>K41</f>
        <v>22.714400000000001</v>
      </c>
      <c r="F16" s="116" t="s">
        <v>331</v>
      </c>
      <c r="G16" s="116"/>
      <c r="H16" s="116"/>
      <c r="I16" s="116"/>
      <c r="J16" s="116"/>
      <c r="K16" s="116"/>
      <c r="L16" s="116"/>
    </row>
    <row r="17" spans="1:13" x14ac:dyDescent="0.25">
      <c r="C17" s="64">
        <f>IF(A9&gt;A12,(A10+IF(A5="AM",(A9-A12)/3*4,(A9-A12)*2)),0)</f>
        <v>0</v>
      </c>
      <c r="D17" s="56">
        <f>IF(C17=0, 0,D16 - (A9-C16+C17-A10)*A13)</f>
        <v>0</v>
      </c>
      <c r="F17" s="102" t="s">
        <v>332</v>
      </c>
      <c r="G17" s="102"/>
      <c r="H17" s="102"/>
      <c r="I17" s="102"/>
      <c r="J17" s="102"/>
      <c r="K17" s="102"/>
      <c r="L17" s="102"/>
    </row>
    <row r="18" spans="1:13" x14ac:dyDescent="0.25">
      <c r="C18" s="64">
        <f>IF(D16&lt;D18,C39,0)</f>
        <v>0</v>
      </c>
      <c r="D18" s="56">
        <f>L41</f>
        <v>0</v>
      </c>
      <c r="F18" s="102" t="s">
        <v>335</v>
      </c>
      <c r="G18" s="102"/>
      <c r="H18" s="102"/>
      <c r="I18" s="102"/>
      <c r="J18" s="102"/>
      <c r="K18" s="102"/>
      <c r="L18" s="102"/>
    </row>
    <row r="19" spans="1:13" x14ac:dyDescent="0.25">
      <c r="B19" s="11"/>
    </row>
    <row r="20" spans="1:13" x14ac:dyDescent="0.25">
      <c r="E20" t="s">
        <v>2</v>
      </c>
      <c r="G20" t="s">
        <v>3</v>
      </c>
      <c r="I20" t="s">
        <v>4</v>
      </c>
      <c r="K20" t="s">
        <v>5</v>
      </c>
    </row>
    <row r="21" spans="1:13" x14ac:dyDescent="0.25">
      <c r="A21" t="s">
        <v>6</v>
      </c>
      <c r="B21" t="s">
        <v>7</v>
      </c>
      <c r="C21" t="s">
        <v>8</v>
      </c>
      <c r="D21" t="s">
        <v>9</v>
      </c>
      <c r="E21" t="s">
        <v>10</v>
      </c>
      <c r="F21" t="s">
        <v>11</v>
      </c>
      <c r="G21" t="s">
        <v>10</v>
      </c>
      <c r="H21" t="s">
        <v>11</v>
      </c>
      <c r="I21" t="s">
        <v>10</v>
      </c>
      <c r="J21" t="s">
        <v>11</v>
      </c>
      <c r="K21" t="s">
        <v>10</v>
      </c>
      <c r="L21" t="s">
        <v>11</v>
      </c>
    </row>
    <row r="22" spans="1:13" x14ac:dyDescent="0.25">
      <c r="A22" s="3">
        <f>A6</f>
        <v>0</v>
      </c>
      <c r="B22" s="3">
        <f>A7</f>
        <v>0</v>
      </c>
      <c r="C22" s="4">
        <f t="shared" ref="C22:C28" si="0">C23-1</f>
        <v>12</v>
      </c>
      <c r="D22" s="3">
        <f>IF(A11="",A10,A11)</f>
        <v>0</v>
      </c>
      <c r="E22" s="3">
        <f>IF(C22-A22&lt;0,0,C22-A22)</f>
        <v>12</v>
      </c>
      <c r="F22" s="3">
        <f>IF(E22&gt;(A22*2),A22*2,E22)</f>
        <v>0</v>
      </c>
      <c r="G22" s="3">
        <f t="shared" ref="G22:G39" si="1">B22+IF($A$5="AM", E22/3*4,E22*2)</f>
        <v>24</v>
      </c>
      <c r="H22" s="3">
        <f t="shared" ref="H22:H39" si="2">B22+IF($A$5="AM",F22/3*4,F22*2)</f>
        <v>0</v>
      </c>
      <c r="I22" s="3">
        <f>G22-D22</f>
        <v>24</v>
      </c>
      <c r="J22" s="3">
        <f>H22-D22</f>
        <v>0</v>
      </c>
      <c r="K22" s="5">
        <f t="shared" ref="K22:K39" si="3">IF(I22&lt;=40,I22*$A$13,0)</f>
        <v>13.628640000000001</v>
      </c>
      <c r="L22" s="5">
        <f t="shared" ref="L22:L39" si="4">IF(I22&lt;40,0,J22*$A$13)</f>
        <v>0</v>
      </c>
    </row>
    <row r="23" spans="1:13" x14ac:dyDescent="0.25">
      <c r="A23" s="3">
        <f>A22</f>
        <v>0</v>
      </c>
      <c r="B23" s="3">
        <f>B22</f>
        <v>0</v>
      </c>
      <c r="C23" s="4">
        <f t="shared" si="0"/>
        <v>13</v>
      </c>
      <c r="D23" s="3">
        <f>D22</f>
        <v>0</v>
      </c>
      <c r="E23" s="3">
        <f t="shared" ref="E23:E39" si="5">IF(C23-A23&lt;0,0,C23-A23)</f>
        <v>13</v>
      </c>
      <c r="F23" s="3">
        <f t="shared" ref="F23:F39" si="6">IF(E23&gt;(A23*2),A23*2,E23)</f>
        <v>0</v>
      </c>
      <c r="G23" s="3">
        <f t="shared" si="1"/>
        <v>26</v>
      </c>
      <c r="H23" s="3">
        <f t="shared" si="2"/>
        <v>0</v>
      </c>
      <c r="I23" s="3">
        <f t="shared" ref="I23:I39" si="7">G23-D23</f>
        <v>26</v>
      </c>
      <c r="J23" s="3">
        <f t="shared" ref="J23:J39" si="8">H23-D23</f>
        <v>0</v>
      </c>
      <c r="K23" s="5">
        <f t="shared" si="3"/>
        <v>14.76436</v>
      </c>
      <c r="L23" s="5">
        <f t="shared" si="4"/>
        <v>0</v>
      </c>
    </row>
    <row r="24" spans="1:13" x14ac:dyDescent="0.25">
      <c r="A24" s="3">
        <f t="shared" ref="A24:B39" si="9">A23</f>
        <v>0</v>
      </c>
      <c r="B24" s="3">
        <f t="shared" si="9"/>
        <v>0</v>
      </c>
      <c r="C24" s="4">
        <f t="shared" si="0"/>
        <v>14</v>
      </c>
      <c r="D24" s="3">
        <f t="shared" ref="D24:D39" si="10">D23</f>
        <v>0</v>
      </c>
      <c r="E24" s="3">
        <f t="shared" si="5"/>
        <v>14</v>
      </c>
      <c r="F24" s="3">
        <f t="shared" si="6"/>
        <v>0</v>
      </c>
      <c r="G24" s="3">
        <f t="shared" si="1"/>
        <v>28</v>
      </c>
      <c r="H24" s="3">
        <f t="shared" si="2"/>
        <v>0</v>
      </c>
      <c r="I24" s="3">
        <f t="shared" si="7"/>
        <v>28</v>
      </c>
      <c r="J24" s="3">
        <f t="shared" si="8"/>
        <v>0</v>
      </c>
      <c r="K24" s="5">
        <f t="shared" si="3"/>
        <v>15.900080000000001</v>
      </c>
      <c r="L24" s="5">
        <f t="shared" si="4"/>
        <v>0</v>
      </c>
    </row>
    <row r="25" spans="1:13" x14ac:dyDescent="0.25">
      <c r="A25" s="3">
        <f t="shared" si="9"/>
        <v>0</v>
      </c>
      <c r="B25" s="3">
        <f t="shared" si="9"/>
        <v>0</v>
      </c>
      <c r="C25" s="4">
        <f t="shared" si="0"/>
        <v>15</v>
      </c>
      <c r="D25" s="3">
        <f t="shared" si="10"/>
        <v>0</v>
      </c>
      <c r="E25" s="3">
        <f>IF(C25-A25&lt;0,0,C25-A25)</f>
        <v>15</v>
      </c>
      <c r="F25" s="3">
        <f t="shared" si="6"/>
        <v>0</v>
      </c>
      <c r="G25" s="3">
        <f t="shared" si="1"/>
        <v>30</v>
      </c>
      <c r="H25" s="3">
        <f t="shared" si="2"/>
        <v>0</v>
      </c>
      <c r="I25" s="3">
        <f t="shared" si="7"/>
        <v>30</v>
      </c>
      <c r="J25" s="3">
        <f t="shared" si="8"/>
        <v>0</v>
      </c>
      <c r="K25" s="5">
        <f t="shared" si="3"/>
        <v>17.035800000000002</v>
      </c>
      <c r="L25" s="5">
        <f t="shared" si="4"/>
        <v>0</v>
      </c>
    </row>
    <row r="26" spans="1:13" x14ac:dyDescent="0.25">
      <c r="A26" s="3">
        <f t="shared" si="9"/>
        <v>0</v>
      </c>
      <c r="B26" s="3">
        <f t="shared" si="9"/>
        <v>0</v>
      </c>
      <c r="C26" s="4">
        <f t="shared" si="0"/>
        <v>16</v>
      </c>
      <c r="D26" s="3">
        <f t="shared" si="10"/>
        <v>0</v>
      </c>
      <c r="E26" s="3">
        <f t="shared" si="5"/>
        <v>16</v>
      </c>
      <c r="F26" s="3">
        <f t="shared" si="6"/>
        <v>0</v>
      </c>
      <c r="G26" s="3">
        <f t="shared" si="1"/>
        <v>32</v>
      </c>
      <c r="H26" s="3">
        <f t="shared" si="2"/>
        <v>0</v>
      </c>
      <c r="I26" s="3">
        <f t="shared" si="7"/>
        <v>32</v>
      </c>
      <c r="J26" s="3">
        <f t="shared" si="8"/>
        <v>0</v>
      </c>
      <c r="K26" s="5">
        <f t="shared" si="3"/>
        <v>18.171520000000001</v>
      </c>
      <c r="L26" s="5">
        <f t="shared" si="4"/>
        <v>0</v>
      </c>
    </row>
    <row r="27" spans="1:13" x14ac:dyDescent="0.25">
      <c r="A27" s="3">
        <f t="shared" si="9"/>
        <v>0</v>
      </c>
      <c r="B27" s="3">
        <f t="shared" si="9"/>
        <v>0</v>
      </c>
      <c r="C27" s="4">
        <f t="shared" si="0"/>
        <v>17</v>
      </c>
      <c r="D27" s="3">
        <f t="shared" si="10"/>
        <v>0</v>
      </c>
      <c r="E27" s="3">
        <f t="shared" si="5"/>
        <v>17</v>
      </c>
      <c r="F27" s="3">
        <f t="shared" si="6"/>
        <v>0</v>
      </c>
      <c r="G27" s="3">
        <f t="shared" si="1"/>
        <v>34</v>
      </c>
      <c r="H27" s="3">
        <f t="shared" si="2"/>
        <v>0</v>
      </c>
      <c r="I27" s="3">
        <f t="shared" si="7"/>
        <v>34</v>
      </c>
      <c r="J27" s="3">
        <f t="shared" si="8"/>
        <v>0</v>
      </c>
      <c r="K27" s="5">
        <f t="shared" si="3"/>
        <v>19.30724</v>
      </c>
      <c r="L27" s="5">
        <f t="shared" si="4"/>
        <v>0</v>
      </c>
    </row>
    <row r="28" spans="1:13" x14ac:dyDescent="0.25">
      <c r="A28" s="3">
        <f t="shared" si="9"/>
        <v>0</v>
      </c>
      <c r="B28" s="3">
        <f t="shared" si="9"/>
        <v>0</v>
      </c>
      <c r="C28" s="4">
        <f t="shared" si="0"/>
        <v>18</v>
      </c>
      <c r="D28" s="3">
        <f t="shared" si="10"/>
        <v>0</v>
      </c>
      <c r="E28" s="3">
        <f t="shared" si="5"/>
        <v>18</v>
      </c>
      <c r="F28" s="3">
        <f t="shared" si="6"/>
        <v>0</v>
      </c>
      <c r="G28" s="3">
        <f t="shared" si="1"/>
        <v>36</v>
      </c>
      <c r="H28" s="3">
        <f t="shared" si="2"/>
        <v>0</v>
      </c>
      <c r="I28" s="3">
        <f t="shared" si="7"/>
        <v>36</v>
      </c>
      <c r="J28" s="3">
        <f t="shared" si="8"/>
        <v>0</v>
      </c>
      <c r="K28" s="5">
        <f t="shared" si="3"/>
        <v>20.442959999999999</v>
      </c>
      <c r="L28" s="5">
        <f t="shared" si="4"/>
        <v>0</v>
      </c>
    </row>
    <row r="29" spans="1:13" x14ac:dyDescent="0.25">
      <c r="A29" s="3">
        <f t="shared" si="9"/>
        <v>0</v>
      </c>
      <c r="B29" s="3">
        <f t="shared" si="9"/>
        <v>0</v>
      </c>
      <c r="C29" s="4">
        <f>C30-1</f>
        <v>19</v>
      </c>
      <c r="D29" s="3">
        <f t="shared" si="10"/>
        <v>0</v>
      </c>
      <c r="E29" s="3">
        <f t="shared" si="5"/>
        <v>19</v>
      </c>
      <c r="F29" s="3">
        <f t="shared" si="6"/>
        <v>0</v>
      </c>
      <c r="G29" s="3">
        <f t="shared" si="1"/>
        <v>38</v>
      </c>
      <c r="H29" s="3">
        <f t="shared" si="2"/>
        <v>0</v>
      </c>
      <c r="I29" s="3">
        <f t="shared" si="7"/>
        <v>38</v>
      </c>
      <c r="J29" s="3">
        <f t="shared" si="8"/>
        <v>0</v>
      </c>
      <c r="K29" s="5">
        <f t="shared" si="3"/>
        <v>21.578680000000002</v>
      </c>
      <c r="L29" s="5">
        <f t="shared" si="4"/>
        <v>0</v>
      </c>
    </row>
    <row r="30" spans="1:13" x14ac:dyDescent="0.25">
      <c r="A30" s="6">
        <f>A29</f>
        <v>0</v>
      </c>
      <c r="B30" s="6">
        <f t="shared" si="9"/>
        <v>0</v>
      </c>
      <c r="C30" s="7">
        <f>IF(A9="",IF(A8="",A12,A8),A9)</f>
        <v>20</v>
      </c>
      <c r="D30" s="6">
        <f t="shared" si="10"/>
        <v>0</v>
      </c>
      <c r="E30" s="6">
        <f t="shared" si="5"/>
        <v>20</v>
      </c>
      <c r="F30" s="6">
        <f t="shared" si="6"/>
        <v>0</v>
      </c>
      <c r="G30" s="6">
        <f t="shared" si="1"/>
        <v>40</v>
      </c>
      <c r="H30" s="6">
        <f t="shared" si="2"/>
        <v>0</v>
      </c>
      <c r="I30" s="6">
        <f t="shared" si="7"/>
        <v>40</v>
      </c>
      <c r="J30" s="6">
        <f t="shared" si="8"/>
        <v>0</v>
      </c>
      <c r="K30" s="8">
        <f t="shared" si="3"/>
        <v>22.714400000000001</v>
      </c>
      <c r="L30" s="8">
        <f t="shared" si="4"/>
        <v>0</v>
      </c>
      <c r="M30" s="68" t="str">
        <f>IF(AND(A9&gt;0, A11&gt;0), "CREDIT HQ","")</f>
        <v/>
      </c>
    </row>
    <row r="31" spans="1:13" x14ac:dyDescent="0.25">
      <c r="A31" s="3">
        <f t="shared" si="9"/>
        <v>0</v>
      </c>
      <c r="B31" s="3">
        <f t="shared" si="9"/>
        <v>0</v>
      </c>
      <c r="C31" s="4">
        <f>C30+1</f>
        <v>21</v>
      </c>
      <c r="D31" s="3">
        <f t="shared" si="10"/>
        <v>0</v>
      </c>
      <c r="E31" s="3">
        <f t="shared" si="5"/>
        <v>21</v>
      </c>
      <c r="F31" s="3">
        <f t="shared" si="6"/>
        <v>0</v>
      </c>
      <c r="G31" s="3">
        <f t="shared" si="1"/>
        <v>42</v>
      </c>
      <c r="H31" s="3">
        <f t="shared" si="2"/>
        <v>0</v>
      </c>
      <c r="I31" s="3">
        <f t="shared" si="7"/>
        <v>42</v>
      </c>
      <c r="J31" s="3">
        <f t="shared" si="8"/>
        <v>0</v>
      </c>
      <c r="K31" s="5">
        <f t="shared" si="3"/>
        <v>0</v>
      </c>
      <c r="L31" s="5">
        <f t="shared" si="4"/>
        <v>0</v>
      </c>
    </row>
    <row r="32" spans="1:13" x14ac:dyDescent="0.25">
      <c r="A32" s="3">
        <f t="shared" si="9"/>
        <v>0</v>
      </c>
      <c r="B32" s="3">
        <f t="shared" si="9"/>
        <v>0</v>
      </c>
      <c r="C32" s="4">
        <f t="shared" ref="C32:C38" si="11">C31+1</f>
        <v>22</v>
      </c>
      <c r="D32" s="3">
        <f t="shared" si="10"/>
        <v>0</v>
      </c>
      <c r="E32" s="3">
        <f t="shared" si="5"/>
        <v>22</v>
      </c>
      <c r="F32" s="3">
        <f t="shared" si="6"/>
        <v>0</v>
      </c>
      <c r="G32" s="3">
        <f t="shared" si="1"/>
        <v>44</v>
      </c>
      <c r="H32" s="3">
        <f t="shared" si="2"/>
        <v>0</v>
      </c>
      <c r="I32" s="3">
        <f t="shared" si="7"/>
        <v>44</v>
      </c>
      <c r="J32" s="3">
        <f t="shared" si="8"/>
        <v>0</v>
      </c>
      <c r="K32" s="5">
        <f t="shared" si="3"/>
        <v>0</v>
      </c>
      <c r="L32" s="5">
        <f t="shared" si="4"/>
        <v>0</v>
      </c>
    </row>
    <row r="33" spans="1:12" x14ac:dyDescent="0.25">
      <c r="A33" s="3">
        <f t="shared" si="9"/>
        <v>0</v>
      </c>
      <c r="B33" s="3">
        <f t="shared" si="9"/>
        <v>0</v>
      </c>
      <c r="C33" s="4">
        <f t="shared" si="11"/>
        <v>23</v>
      </c>
      <c r="D33" s="3">
        <f t="shared" si="10"/>
        <v>0</v>
      </c>
      <c r="E33" s="3">
        <f t="shared" si="5"/>
        <v>23</v>
      </c>
      <c r="F33" s="3">
        <f t="shared" si="6"/>
        <v>0</v>
      </c>
      <c r="G33" s="3">
        <f t="shared" si="1"/>
        <v>46</v>
      </c>
      <c r="H33" s="3">
        <f t="shared" si="2"/>
        <v>0</v>
      </c>
      <c r="I33" s="3">
        <f>G33-D33</f>
        <v>46</v>
      </c>
      <c r="J33" s="3">
        <f t="shared" si="8"/>
        <v>0</v>
      </c>
      <c r="K33" s="5">
        <f t="shared" si="3"/>
        <v>0</v>
      </c>
      <c r="L33" s="5">
        <f t="shared" si="4"/>
        <v>0</v>
      </c>
    </row>
    <row r="34" spans="1:12" x14ac:dyDescent="0.25">
      <c r="A34" s="3">
        <f t="shared" si="9"/>
        <v>0</v>
      </c>
      <c r="B34" s="3">
        <f t="shared" si="9"/>
        <v>0</v>
      </c>
      <c r="C34" s="4">
        <f t="shared" si="11"/>
        <v>24</v>
      </c>
      <c r="D34" s="3">
        <f t="shared" si="10"/>
        <v>0</v>
      </c>
      <c r="E34" s="3">
        <f>IF(C34-A34&lt;0,0,C34-A34)</f>
        <v>24</v>
      </c>
      <c r="F34" s="3">
        <f t="shared" si="6"/>
        <v>0</v>
      </c>
      <c r="G34" s="3">
        <f t="shared" si="1"/>
        <v>48</v>
      </c>
      <c r="H34" s="3">
        <f t="shared" si="2"/>
        <v>0</v>
      </c>
      <c r="I34" s="3">
        <f t="shared" si="7"/>
        <v>48</v>
      </c>
      <c r="J34" s="3">
        <f t="shared" si="8"/>
        <v>0</v>
      </c>
      <c r="K34" s="5">
        <f t="shared" si="3"/>
        <v>0</v>
      </c>
      <c r="L34" s="5">
        <f t="shared" si="4"/>
        <v>0</v>
      </c>
    </row>
    <row r="35" spans="1:12" x14ac:dyDescent="0.25">
      <c r="A35" s="3">
        <f t="shared" si="9"/>
        <v>0</v>
      </c>
      <c r="B35" s="3">
        <f t="shared" si="9"/>
        <v>0</v>
      </c>
      <c r="C35" s="4">
        <f t="shared" si="11"/>
        <v>25</v>
      </c>
      <c r="D35" s="3">
        <f t="shared" si="10"/>
        <v>0</v>
      </c>
      <c r="E35" s="3">
        <f t="shared" si="5"/>
        <v>25</v>
      </c>
      <c r="F35" s="3">
        <f t="shared" si="6"/>
        <v>0</v>
      </c>
      <c r="G35" s="3">
        <f t="shared" si="1"/>
        <v>50</v>
      </c>
      <c r="H35" s="3">
        <f t="shared" si="2"/>
        <v>0</v>
      </c>
      <c r="I35" s="3">
        <f t="shared" si="7"/>
        <v>50</v>
      </c>
      <c r="J35" s="3">
        <f t="shared" si="8"/>
        <v>0</v>
      </c>
      <c r="K35" s="5">
        <f t="shared" si="3"/>
        <v>0</v>
      </c>
      <c r="L35" s="5">
        <f t="shared" si="4"/>
        <v>0</v>
      </c>
    </row>
    <row r="36" spans="1:12" x14ac:dyDescent="0.25">
      <c r="A36" s="3">
        <f t="shared" si="9"/>
        <v>0</v>
      </c>
      <c r="B36" s="3">
        <f t="shared" si="9"/>
        <v>0</v>
      </c>
      <c r="C36" s="4">
        <f t="shared" si="11"/>
        <v>26</v>
      </c>
      <c r="D36" s="3">
        <f t="shared" si="10"/>
        <v>0</v>
      </c>
      <c r="E36" s="3">
        <f t="shared" si="5"/>
        <v>26</v>
      </c>
      <c r="F36" s="3">
        <f t="shared" si="6"/>
        <v>0</v>
      </c>
      <c r="G36" s="3">
        <f t="shared" si="1"/>
        <v>52</v>
      </c>
      <c r="H36" s="3">
        <f t="shared" si="2"/>
        <v>0</v>
      </c>
      <c r="I36" s="3">
        <f t="shared" si="7"/>
        <v>52</v>
      </c>
      <c r="J36" s="3">
        <f t="shared" si="8"/>
        <v>0</v>
      </c>
      <c r="K36" s="5">
        <f t="shared" si="3"/>
        <v>0</v>
      </c>
      <c r="L36" s="5">
        <f t="shared" si="4"/>
        <v>0</v>
      </c>
    </row>
    <row r="37" spans="1:12" x14ac:dyDescent="0.25">
      <c r="A37" s="3">
        <f t="shared" si="9"/>
        <v>0</v>
      </c>
      <c r="B37" s="3">
        <f t="shared" si="9"/>
        <v>0</v>
      </c>
      <c r="C37" s="4">
        <f t="shared" si="11"/>
        <v>27</v>
      </c>
      <c r="D37" s="3">
        <f t="shared" si="10"/>
        <v>0</v>
      </c>
      <c r="E37" s="3">
        <f t="shared" si="5"/>
        <v>27</v>
      </c>
      <c r="F37" s="3">
        <f t="shared" si="6"/>
        <v>0</v>
      </c>
      <c r="G37" s="3">
        <f t="shared" si="1"/>
        <v>54</v>
      </c>
      <c r="H37" s="3">
        <f t="shared" si="2"/>
        <v>0</v>
      </c>
      <c r="I37" s="3">
        <f t="shared" si="7"/>
        <v>54</v>
      </c>
      <c r="J37" s="3">
        <f t="shared" si="8"/>
        <v>0</v>
      </c>
      <c r="K37" s="5">
        <f t="shared" si="3"/>
        <v>0</v>
      </c>
      <c r="L37" s="5">
        <f t="shared" si="4"/>
        <v>0</v>
      </c>
    </row>
    <row r="38" spans="1:12" x14ac:dyDescent="0.25">
      <c r="A38" s="3">
        <f t="shared" si="9"/>
        <v>0</v>
      </c>
      <c r="B38" s="3">
        <f t="shared" si="9"/>
        <v>0</v>
      </c>
      <c r="C38" s="4">
        <f t="shared" si="11"/>
        <v>28</v>
      </c>
      <c r="D38" s="3">
        <f t="shared" si="10"/>
        <v>0</v>
      </c>
      <c r="E38" s="3">
        <f t="shared" si="5"/>
        <v>28</v>
      </c>
      <c r="F38" s="3">
        <f t="shared" si="6"/>
        <v>0</v>
      </c>
      <c r="G38" s="3">
        <f t="shared" si="1"/>
        <v>56</v>
      </c>
      <c r="H38" s="3">
        <f t="shared" si="2"/>
        <v>0</v>
      </c>
      <c r="I38" s="3">
        <f t="shared" si="7"/>
        <v>56</v>
      </c>
      <c r="J38" s="3">
        <f t="shared" si="8"/>
        <v>0</v>
      </c>
      <c r="K38" s="5">
        <f t="shared" si="3"/>
        <v>0</v>
      </c>
      <c r="L38" s="5">
        <f t="shared" si="4"/>
        <v>0</v>
      </c>
    </row>
    <row r="39" spans="1:12" x14ac:dyDescent="0.25">
      <c r="A39" s="6">
        <f t="shared" si="9"/>
        <v>0</v>
      </c>
      <c r="B39" s="6">
        <f t="shared" si="9"/>
        <v>0</v>
      </c>
      <c r="C39" s="7">
        <f>A39*3</f>
        <v>0</v>
      </c>
      <c r="D39" s="6">
        <f t="shared" si="10"/>
        <v>0</v>
      </c>
      <c r="E39" s="6">
        <f t="shared" si="5"/>
        <v>0</v>
      </c>
      <c r="F39" s="6">
        <f t="shared" si="6"/>
        <v>0</v>
      </c>
      <c r="G39" s="6">
        <f t="shared" si="1"/>
        <v>0</v>
      </c>
      <c r="H39" s="6">
        <f t="shared" si="2"/>
        <v>0</v>
      </c>
      <c r="I39" s="6">
        <f t="shared" si="7"/>
        <v>0</v>
      </c>
      <c r="J39" s="6">
        <f t="shared" si="8"/>
        <v>0</v>
      </c>
      <c r="K39" s="8">
        <f t="shared" si="3"/>
        <v>0</v>
      </c>
      <c r="L39" s="8">
        <f t="shared" si="4"/>
        <v>0</v>
      </c>
    </row>
    <row r="41" spans="1:12" x14ac:dyDescent="0.25">
      <c r="J41" s="9" t="s">
        <v>12</v>
      </c>
      <c r="K41" s="10">
        <f>MAX(K22:K39)</f>
        <v>22.714400000000001</v>
      </c>
      <c r="L41" s="10">
        <f>MAX(L22:L39)</f>
        <v>0</v>
      </c>
    </row>
  </sheetData>
  <sheetProtection sheet="1" scenarios="1"/>
  <mergeCells count="20">
    <mergeCell ref="F17:L17"/>
    <mergeCell ref="F18:L18"/>
    <mergeCell ref="F7:L8"/>
    <mergeCell ref="F9:L10"/>
    <mergeCell ref="F11:L12"/>
    <mergeCell ref="F13:L15"/>
    <mergeCell ref="F16:L16"/>
    <mergeCell ref="F4:L4"/>
    <mergeCell ref="F5:L5"/>
    <mergeCell ref="F6:L6"/>
    <mergeCell ref="B13:D13"/>
    <mergeCell ref="B5:D5"/>
    <mergeCell ref="B10:D10"/>
    <mergeCell ref="B4:D4"/>
    <mergeCell ref="B9:D9"/>
    <mergeCell ref="B11:D11"/>
    <mergeCell ref="B8:D8"/>
    <mergeCell ref="B12:D12"/>
    <mergeCell ref="B6:D6"/>
    <mergeCell ref="B7:D7"/>
  </mergeCells>
  <dataValidations count="1">
    <dataValidation type="list" allowBlank="1" showInputMessage="1" showErrorMessage="1" sqref="A5">
      <formula1>"AM,PM"</formula1>
    </dataValidation>
  </dataValidations>
  <pageMargins left="0.25" right="0.25" top="0.75" bottom="0.75" header="0.3" footer="0.3"/>
  <pageSetup scale="7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clearSimulatorData">
                <anchor moveWithCells="1" sizeWithCells="1">
                  <from>
                    <xdr:col>0</xdr:col>
                    <xdr:colOff>38100</xdr:colOff>
                    <xdr:row>1</xdr:row>
                    <xdr:rowOff>95250</xdr:rowOff>
                  </from>
                  <to>
                    <xdr:col>1</xdr:col>
                    <xdr:colOff>390525</xdr:colOff>
                    <xdr:row>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5"/>
  <sheetViews>
    <sheetView workbookViewId="0">
      <selection activeCell="B6" sqref="B6"/>
    </sheetView>
  </sheetViews>
  <sheetFormatPr defaultRowHeight="15" x14ac:dyDescent="0.25"/>
  <sheetData>
    <row r="1" spans="1:2" x14ac:dyDescent="0.25">
      <c r="A1" t="s">
        <v>295</v>
      </c>
    </row>
    <row r="3" spans="1:2" x14ac:dyDescent="0.25">
      <c r="B3" t="s">
        <v>300</v>
      </c>
    </row>
    <row r="5" spans="1:2" x14ac:dyDescent="0.25">
      <c r="B5" t="s">
        <v>301</v>
      </c>
    </row>
  </sheetData>
  <sheetProtection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34"/>
  <sheetViews>
    <sheetView workbookViewId="0">
      <selection activeCell="B18" sqref="B18"/>
    </sheetView>
  </sheetViews>
  <sheetFormatPr defaultRowHeight="15" x14ac:dyDescent="0.25"/>
  <cols>
    <col min="1" max="1" width="56.28515625" customWidth="1"/>
    <col min="2" max="2" width="21.42578125" customWidth="1"/>
    <col min="3" max="3" width="57.5703125" customWidth="1"/>
  </cols>
  <sheetData>
    <row r="1" spans="1:3" ht="31.5" x14ac:dyDescent="0.25">
      <c r="A1" s="23" t="s">
        <v>73</v>
      </c>
      <c r="B1" s="20"/>
    </row>
    <row r="2" spans="1:3" ht="15.75" x14ac:dyDescent="0.25">
      <c r="A2" s="35" t="s">
        <v>135</v>
      </c>
      <c r="B2" s="52" t="s">
        <v>134</v>
      </c>
    </row>
    <row r="3" spans="1:3" ht="15.75" x14ac:dyDescent="0.25">
      <c r="A3" s="35" t="s">
        <v>136</v>
      </c>
      <c r="B3" s="52" t="s">
        <v>137</v>
      </c>
    </row>
    <row r="4" spans="1:3" ht="15.75" x14ac:dyDescent="0.25">
      <c r="A4" s="23"/>
      <c r="B4" s="20"/>
    </row>
    <row r="5" spans="1:3" x14ac:dyDescent="0.25">
      <c r="A5" s="20"/>
      <c r="B5" s="20"/>
    </row>
    <row r="6" spans="1:3" ht="60" x14ac:dyDescent="0.25">
      <c r="A6" s="49" t="s">
        <v>255</v>
      </c>
      <c r="B6" s="49" t="s">
        <v>256</v>
      </c>
      <c r="C6" s="49" t="s">
        <v>257</v>
      </c>
    </row>
    <row r="7" spans="1:3" ht="60" x14ac:dyDescent="0.25">
      <c r="A7" s="49" t="s">
        <v>258</v>
      </c>
      <c r="B7" s="49"/>
      <c r="C7" s="49" t="s">
        <v>259</v>
      </c>
    </row>
    <row r="8" spans="1:3" ht="75" x14ac:dyDescent="0.25">
      <c r="A8" s="49" t="s">
        <v>260</v>
      </c>
      <c r="B8" s="49" t="s">
        <v>261</v>
      </c>
      <c r="C8" s="49" t="s">
        <v>262</v>
      </c>
    </row>
    <row r="9" spans="1:3" ht="135" x14ac:dyDescent="0.25">
      <c r="A9" s="49" t="s">
        <v>263</v>
      </c>
      <c r="B9" s="49" t="s">
        <v>264</v>
      </c>
      <c r="C9" s="49" t="s">
        <v>265</v>
      </c>
    </row>
    <row r="10" spans="1:3" ht="90" x14ac:dyDescent="0.25">
      <c r="A10" s="49" t="s">
        <v>266</v>
      </c>
      <c r="B10" s="49" t="s">
        <v>267</v>
      </c>
      <c r="C10" s="49" t="s">
        <v>268</v>
      </c>
    </row>
    <row r="11" spans="1:3" ht="30" x14ac:dyDescent="0.25">
      <c r="A11" s="49" t="s">
        <v>269</v>
      </c>
      <c r="B11" s="117" t="s">
        <v>270</v>
      </c>
      <c r="C11" s="49" t="s">
        <v>271</v>
      </c>
    </row>
    <row r="12" spans="1:3" ht="60" x14ac:dyDescent="0.25">
      <c r="A12" s="49" t="s">
        <v>272</v>
      </c>
      <c r="B12" s="117"/>
      <c r="C12" s="49" t="s">
        <v>273</v>
      </c>
    </row>
    <row r="13" spans="1:3" ht="60" x14ac:dyDescent="0.25">
      <c r="A13" s="53" t="s">
        <v>274</v>
      </c>
      <c r="B13" s="117"/>
      <c r="C13" s="49" t="s">
        <v>275</v>
      </c>
    </row>
    <row r="14" spans="1:3" x14ac:dyDescent="0.25">
      <c r="A14" s="50" t="s">
        <v>24</v>
      </c>
      <c r="B14" s="50"/>
      <c r="C14" s="50" t="s">
        <v>276</v>
      </c>
    </row>
    <row r="15" spans="1:3" ht="45" x14ac:dyDescent="0.25">
      <c r="A15" s="49" t="s">
        <v>25</v>
      </c>
      <c r="B15" s="117" t="s">
        <v>277</v>
      </c>
      <c r="C15" s="49" t="s">
        <v>278</v>
      </c>
    </row>
    <row r="16" spans="1:3" ht="60" x14ac:dyDescent="0.25">
      <c r="A16" s="49" t="s">
        <v>23</v>
      </c>
      <c r="B16" s="117"/>
      <c r="C16" s="49" t="s">
        <v>279</v>
      </c>
    </row>
    <row r="17" spans="1:3" ht="30" x14ac:dyDescent="0.25">
      <c r="A17" s="54" t="s">
        <v>26</v>
      </c>
      <c r="B17" s="55" t="s">
        <v>280</v>
      </c>
      <c r="C17" s="54" t="s">
        <v>281</v>
      </c>
    </row>
    <row r="18" spans="1:3" ht="90" x14ac:dyDescent="0.25">
      <c r="A18" s="53" t="s">
        <v>282</v>
      </c>
      <c r="B18" s="49" t="s">
        <v>289</v>
      </c>
      <c r="C18" s="49" t="s">
        <v>283</v>
      </c>
    </row>
    <row r="19" spans="1:3" x14ac:dyDescent="0.25">
      <c r="A19" s="50" t="s">
        <v>24</v>
      </c>
      <c r="B19" s="50"/>
      <c r="C19" s="50" t="s">
        <v>284</v>
      </c>
    </row>
    <row r="20" spans="1:3" ht="90" x14ac:dyDescent="0.25">
      <c r="A20" s="49" t="s">
        <v>27</v>
      </c>
      <c r="B20" s="49" t="s">
        <v>290</v>
      </c>
      <c r="C20" s="49" t="s">
        <v>285</v>
      </c>
    </row>
    <row r="21" spans="1:3" ht="105" x14ac:dyDescent="0.25">
      <c r="A21" s="49" t="s">
        <v>286</v>
      </c>
      <c r="B21" s="49" t="s">
        <v>287</v>
      </c>
      <c r="C21" s="49" t="s">
        <v>288</v>
      </c>
    </row>
    <row r="22" spans="1:3" x14ac:dyDescent="0.25">
      <c r="B22" s="50"/>
      <c r="C22" s="20"/>
    </row>
    <row r="23" spans="1:3" x14ac:dyDescent="0.25">
      <c r="B23" s="20"/>
      <c r="C23" s="20"/>
    </row>
    <row r="24" spans="1:3" x14ac:dyDescent="0.25">
      <c r="B24" s="20"/>
    </row>
    <row r="25" spans="1:3" x14ac:dyDescent="0.25">
      <c r="B25" s="20"/>
    </row>
    <row r="26" spans="1:3" x14ac:dyDescent="0.25">
      <c r="A26" s="14"/>
      <c r="B26" s="20"/>
    </row>
    <row r="27" spans="1:3" x14ac:dyDescent="0.25">
      <c r="B27" s="20"/>
    </row>
    <row r="28" spans="1:3" x14ac:dyDescent="0.25">
      <c r="B28" s="20"/>
    </row>
    <row r="29" spans="1:3" x14ac:dyDescent="0.25">
      <c r="B29" s="20"/>
    </row>
    <row r="30" spans="1:3" x14ac:dyDescent="0.25">
      <c r="B30" s="20"/>
    </row>
    <row r="31" spans="1:3" x14ac:dyDescent="0.25">
      <c r="B31" s="20"/>
    </row>
    <row r="32" spans="1:3" x14ac:dyDescent="0.25">
      <c r="B32" s="20"/>
    </row>
    <row r="33" spans="2:2" x14ac:dyDescent="0.25">
      <c r="B33" s="20"/>
    </row>
    <row r="34" spans="2:2" x14ac:dyDescent="0.25">
      <c r="B34" s="20"/>
    </row>
  </sheetData>
  <sheetProtection sheet="1" objects="1" scenarios="1"/>
  <mergeCells count="2">
    <mergeCell ref="B11:B13"/>
    <mergeCell ref="B15:B16"/>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66"/>
  <sheetViews>
    <sheetView topLeftCell="A10" workbookViewId="0">
      <selection activeCell="A56" sqref="A56"/>
    </sheetView>
  </sheetViews>
  <sheetFormatPr defaultRowHeight="15" x14ac:dyDescent="0.25"/>
  <sheetData>
    <row r="1" spans="1:1" x14ac:dyDescent="0.25">
      <c r="A1" s="22" t="s">
        <v>28</v>
      </c>
    </row>
    <row r="2" spans="1:1" x14ac:dyDescent="0.25">
      <c r="A2" s="22" t="s">
        <v>29</v>
      </c>
    </row>
    <row r="3" spans="1:1" x14ac:dyDescent="0.25">
      <c r="A3" s="22" t="s">
        <v>30</v>
      </c>
    </row>
    <row r="4" spans="1:1" x14ac:dyDescent="0.25">
      <c r="A4" s="22" t="s">
        <v>31</v>
      </c>
    </row>
    <row r="5" spans="1:1" x14ac:dyDescent="0.25">
      <c r="A5" s="22" t="s">
        <v>32</v>
      </c>
    </row>
    <row r="6" spans="1:1" x14ac:dyDescent="0.25">
      <c r="A6" s="22" t="s">
        <v>51</v>
      </c>
    </row>
    <row r="7" spans="1:1" x14ac:dyDescent="0.25">
      <c r="A7" s="22" t="s">
        <v>52</v>
      </c>
    </row>
    <row r="8" spans="1:1" x14ac:dyDescent="0.25">
      <c r="A8" s="22" t="s">
        <v>53</v>
      </c>
    </row>
    <row r="9" spans="1:1" x14ac:dyDescent="0.25">
      <c r="A9" s="22" t="s">
        <v>33</v>
      </c>
    </row>
    <row r="10" spans="1:1" x14ac:dyDescent="0.25">
      <c r="A10" s="22" t="s">
        <v>34</v>
      </c>
    </row>
    <row r="11" spans="1:1" x14ac:dyDescent="0.25">
      <c r="A11" s="22" t="s">
        <v>35</v>
      </c>
    </row>
    <row r="12" spans="1:1" x14ac:dyDescent="0.25">
      <c r="A12" s="22" t="s">
        <v>54</v>
      </c>
    </row>
    <row r="13" spans="1:1" x14ac:dyDescent="0.25">
      <c r="A13" s="22" t="s">
        <v>55</v>
      </c>
    </row>
    <row r="14" spans="1:1" x14ac:dyDescent="0.25">
      <c r="A14" s="22" t="s">
        <v>36</v>
      </c>
    </row>
    <row r="15" spans="1:1" x14ac:dyDescent="0.25">
      <c r="A15" s="22" t="s">
        <v>34</v>
      </c>
    </row>
    <row r="16" spans="1:1" x14ac:dyDescent="0.25">
      <c r="A16" s="22" t="s">
        <v>56</v>
      </c>
    </row>
    <row r="17" spans="1:1" x14ac:dyDescent="0.25">
      <c r="A17" s="22" t="s">
        <v>38</v>
      </c>
    </row>
    <row r="18" spans="1:1" x14ac:dyDescent="0.25">
      <c r="A18" s="22" t="s">
        <v>39</v>
      </c>
    </row>
    <row r="19" spans="1:1" x14ac:dyDescent="0.25">
      <c r="A19" s="22" t="s">
        <v>40</v>
      </c>
    </row>
    <row r="20" spans="1:1" x14ac:dyDescent="0.25">
      <c r="A20" s="22" t="s">
        <v>41</v>
      </c>
    </row>
    <row r="21" spans="1:1" x14ac:dyDescent="0.25">
      <c r="A21" s="22" t="s">
        <v>57</v>
      </c>
    </row>
    <row r="22" spans="1:1" x14ac:dyDescent="0.25">
      <c r="A22" s="22" t="s">
        <v>43</v>
      </c>
    </row>
    <row r="23" spans="1:1" x14ac:dyDescent="0.25">
      <c r="A23" s="22" t="s">
        <v>37</v>
      </c>
    </row>
    <row r="24" spans="1:1" x14ac:dyDescent="0.25">
      <c r="A24" s="22" t="s">
        <v>58</v>
      </c>
    </row>
    <row r="25" spans="1:1" x14ac:dyDescent="0.25">
      <c r="A25" s="22" t="s">
        <v>59</v>
      </c>
    </row>
    <row r="26" spans="1:1" x14ac:dyDescent="0.25">
      <c r="A26" s="22" t="s">
        <v>60</v>
      </c>
    </row>
    <row r="27" spans="1:1" x14ac:dyDescent="0.25">
      <c r="A27" s="22" t="s">
        <v>42</v>
      </c>
    </row>
    <row r="28" spans="1:1" x14ac:dyDescent="0.25">
      <c r="A28" s="22" t="s">
        <v>43</v>
      </c>
    </row>
    <row r="29" spans="1:1" x14ac:dyDescent="0.25">
      <c r="A29" s="22" t="s">
        <v>37</v>
      </c>
    </row>
    <row r="30" spans="1:1" x14ac:dyDescent="0.25">
      <c r="A30" s="22" t="s">
        <v>61</v>
      </c>
    </row>
    <row r="31" spans="1:1" x14ac:dyDescent="0.25">
      <c r="A31" s="22" t="s">
        <v>62</v>
      </c>
    </row>
    <row r="32" spans="1:1" x14ac:dyDescent="0.25">
      <c r="A32" s="22" t="s">
        <v>42</v>
      </c>
    </row>
    <row r="33" spans="1:1" x14ac:dyDescent="0.25">
      <c r="A33" s="22" t="s">
        <v>43</v>
      </c>
    </row>
    <row r="34" spans="1:1" x14ac:dyDescent="0.25">
      <c r="A34" s="22" t="s">
        <v>37</v>
      </c>
    </row>
    <row r="35" spans="1:1" x14ac:dyDescent="0.25">
      <c r="A35" s="22" t="s">
        <v>63</v>
      </c>
    </row>
    <row r="36" spans="1:1" x14ac:dyDescent="0.25">
      <c r="A36" s="22" t="s">
        <v>64</v>
      </c>
    </row>
    <row r="37" spans="1:1" x14ac:dyDescent="0.25">
      <c r="A37" s="22" t="s">
        <v>42</v>
      </c>
    </row>
    <row r="38" spans="1:1" x14ac:dyDescent="0.25">
      <c r="A38" s="22" t="s">
        <v>43</v>
      </c>
    </row>
    <row r="39" spans="1:1" x14ac:dyDescent="0.25">
      <c r="A39" s="22" t="s">
        <v>44</v>
      </c>
    </row>
    <row r="40" spans="1:1" x14ac:dyDescent="0.25">
      <c r="A40" s="22" t="s">
        <v>45</v>
      </c>
    </row>
    <row r="41" spans="1:1" x14ac:dyDescent="0.25">
      <c r="A41" s="22" t="s">
        <v>65</v>
      </c>
    </row>
    <row r="42" spans="1:1" x14ac:dyDescent="0.25">
      <c r="A42" s="22" t="s">
        <v>46</v>
      </c>
    </row>
    <row r="43" spans="1:1" x14ac:dyDescent="0.25">
      <c r="A43" s="22" t="s">
        <v>47</v>
      </c>
    </row>
    <row r="44" spans="1:1" x14ac:dyDescent="0.25">
      <c r="A44" s="22" t="s">
        <v>37</v>
      </c>
    </row>
    <row r="45" spans="1:1" x14ac:dyDescent="0.25">
      <c r="A45" s="22" t="s">
        <v>66</v>
      </c>
    </row>
    <row r="46" spans="1:1" x14ac:dyDescent="0.25">
      <c r="A46" s="22" t="s">
        <v>67</v>
      </c>
    </row>
    <row r="47" spans="1:1" x14ac:dyDescent="0.25">
      <c r="A47" s="22" t="s">
        <v>68</v>
      </c>
    </row>
    <row r="48" spans="1:1" x14ac:dyDescent="0.25">
      <c r="A48" s="22" t="s">
        <v>69</v>
      </c>
    </row>
    <row r="49" spans="1:1" x14ac:dyDescent="0.25">
      <c r="A49" s="22" t="s">
        <v>42</v>
      </c>
    </row>
    <row r="50" spans="1:1" x14ac:dyDescent="0.25">
      <c r="A50" s="22" t="s">
        <v>43</v>
      </c>
    </row>
    <row r="51" spans="1:1" x14ac:dyDescent="0.25">
      <c r="A51" s="22" t="s">
        <v>293</v>
      </c>
    </row>
    <row r="52" spans="1:1" x14ac:dyDescent="0.25">
      <c r="A52" s="22" t="s">
        <v>292</v>
      </c>
    </row>
    <row r="53" spans="1:1" x14ac:dyDescent="0.25">
      <c r="A53" s="22" t="s">
        <v>291</v>
      </c>
    </row>
    <row r="54" spans="1:1" x14ac:dyDescent="0.25">
      <c r="A54" s="22" t="s">
        <v>294</v>
      </c>
    </row>
    <row r="55" spans="1:1" x14ac:dyDescent="0.25">
      <c r="A55" s="22" t="s">
        <v>43</v>
      </c>
    </row>
    <row r="56" spans="1:1" x14ac:dyDescent="0.25">
      <c r="A56" s="22" t="s">
        <v>37</v>
      </c>
    </row>
    <row r="57" spans="1:1" x14ac:dyDescent="0.25">
      <c r="A57" s="22" t="s">
        <v>70</v>
      </c>
    </row>
    <row r="58" spans="1:1" x14ac:dyDescent="0.25">
      <c r="A58" s="22" t="s">
        <v>71</v>
      </c>
    </row>
    <row r="59" spans="1:1" x14ac:dyDescent="0.25">
      <c r="A59" s="22" t="s">
        <v>42</v>
      </c>
    </row>
    <row r="60" spans="1:1" x14ac:dyDescent="0.25">
      <c r="A60" s="22" t="s">
        <v>43</v>
      </c>
    </row>
    <row r="61" spans="1:1" x14ac:dyDescent="0.25">
      <c r="A61" s="22" t="s">
        <v>44</v>
      </c>
    </row>
    <row r="62" spans="1:1" x14ac:dyDescent="0.25">
      <c r="A62" s="22" t="s">
        <v>48</v>
      </c>
    </row>
    <row r="63" spans="1:1" x14ac:dyDescent="0.25">
      <c r="A63" s="22" t="s">
        <v>49</v>
      </c>
    </row>
    <row r="64" spans="1:1" x14ac:dyDescent="0.25">
      <c r="A64" s="22" t="s">
        <v>50</v>
      </c>
    </row>
    <row r="65" spans="1:1" x14ac:dyDescent="0.25">
      <c r="A65" s="21"/>
    </row>
    <row r="66" spans="1:1" x14ac:dyDescent="0.25">
      <c r="A66" s="21"/>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33"/>
  <sheetViews>
    <sheetView workbookViewId="0">
      <selection activeCell="C30" sqref="C30"/>
    </sheetView>
  </sheetViews>
  <sheetFormatPr defaultRowHeight="15" x14ac:dyDescent="0.25"/>
  <sheetData>
    <row r="1" spans="1:1" x14ac:dyDescent="0.25">
      <c r="A1" t="s">
        <v>142</v>
      </c>
    </row>
    <row r="2" spans="1:1" x14ac:dyDescent="0.25">
      <c r="A2" t="s">
        <v>143</v>
      </c>
    </row>
    <row r="3" spans="1:1" x14ac:dyDescent="0.25">
      <c r="A3" t="s">
        <v>225</v>
      </c>
    </row>
    <row r="4" spans="1:1" x14ac:dyDescent="0.25">
      <c r="A4" t="s">
        <v>144</v>
      </c>
    </row>
    <row r="5" spans="1:1" x14ac:dyDescent="0.25">
      <c r="A5" t="s">
        <v>226</v>
      </c>
    </row>
    <row r="6" spans="1:1" x14ac:dyDescent="0.25">
      <c r="A6" t="s">
        <v>144</v>
      </c>
    </row>
    <row r="7" spans="1:1" x14ac:dyDescent="0.25">
      <c r="A7" t="s">
        <v>227</v>
      </c>
    </row>
    <row r="8" spans="1:1" x14ac:dyDescent="0.25">
      <c r="A8" t="s">
        <v>228</v>
      </c>
    </row>
    <row r="9" spans="1:1" x14ac:dyDescent="0.25">
      <c r="A9" t="s">
        <v>229</v>
      </c>
    </row>
    <row r="10" spans="1:1" x14ac:dyDescent="0.25">
      <c r="A10" t="s">
        <v>230</v>
      </c>
    </row>
    <row r="11" spans="1:1" x14ac:dyDescent="0.25">
      <c r="A11" t="s">
        <v>144</v>
      </c>
    </row>
    <row r="12" spans="1:1" x14ac:dyDescent="0.25">
      <c r="A12" t="s">
        <v>231</v>
      </c>
    </row>
    <row r="13" spans="1:1" x14ac:dyDescent="0.25">
      <c r="A13" t="s">
        <v>232</v>
      </c>
    </row>
    <row r="14" spans="1:1" x14ac:dyDescent="0.25">
      <c r="A14" t="s">
        <v>233</v>
      </c>
    </row>
    <row r="15" spans="1:1" x14ac:dyDescent="0.25">
      <c r="A15" t="s">
        <v>144</v>
      </c>
    </row>
    <row r="16" spans="1:1" x14ac:dyDescent="0.25">
      <c r="A16" t="s">
        <v>234</v>
      </c>
    </row>
    <row r="17" spans="1:1" x14ac:dyDescent="0.25">
      <c r="A17" t="s">
        <v>235</v>
      </c>
    </row>
    <row r="18" spans="1:1" x14ac:dyDescent="0.25">
      <c r="A18" t="s">
        <v>236</v>
      </c>
    </row>
    <row r="19" spans="1:1" x14ac:dyDescent="0.25">
      <c r="A19" t="s">
        <v>237</v>
      </c>
    </row>
    <row r="20" spans="1:1" x14ac:dyDescent="0.25">
      <c r="A20" t="s">
        <v>238</v>
      </c>
    </row>
    <row r="21" spans="1:1" x14ac:dyDescent="0.25">
      <c r="A21" t="s">
        <v>144</v>
      </c>
    </row>
    <row r="22" spans="1:1" x14ac:dyDescent="0.25">
      <c r="A22" t="s">
        <v>145</v>
      </c>
    </row>
    <row r="23" spans="1:1" x14ac:dyDescent="0.25">
      <c r="A23" t="s">
        <v>144</v>
      </c>
    </row>
    <row r="24" spans="1:1" x14ac:dyDescent="0.25">
      <c r="A24" t="s">
        <v>146</v>
      </c>
    </row>
    <row r="25" spans="1:1" x14ac:dyDescent="0.25">
      <c r="A25" t="s">
        <v>147</v>
      </c>
    </row>
    <row r="26" spans="1:1" x14ac:dyDescent="0.25">
      <c r="A26" t="s">
        <v>148</v>
      </c>
    </row>
    <row r="27" spans="1:1" x14ac:dyDescent="0.25">
      <c r="A27" t="s">
        <v>144</v>
      </c>
    </row>
    <row r="28" spans="1:1" x14ac:dyDescent="0.25">
      <c r="A28" t="s">
        <v>149</v>
      </c>
    </row>
    <row r="29" spans="1:1" x14ac:dyDescent="0.25">
      <c r="A29" t="s">
        <v>150</v>
      </c>
    </row>
    <row r="30" spans="1:1" x14ac:dyDescent="0.25">
      <c r="A30" t="s">
        <v>151</v>
      </c>
    </row>
    <row r="31" spans="1:1" x14ac:dyDescent="0.25">
      <c r="A31" t="s">
        <v>144</v>
      </c>
    </row>
    <row r="32" spans="1:1" x14ac:dyDescent="0.25">
      <c r="A32" t="s">
        <v>152</v>
      </c>
    </row>
    <row r="33" spans="1:1" x14ac:dyDescent="0.25">
      <c r="A33" t="s">
        <v>142</v>
      </c>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45"/>
  <sheetViews>
    <sheetView topLeftCell="A16" workbookViewId="0">
      <selection activeCell="A59" sqref="A59"/>
    </sheetView>
  </sheetViews>
  <sheetFormatPr defaultRowHeight="15" x14ac:dyDescent="0.25"/>
  <cols>
    <col min="1" max="1" width="25.5703125" style="52" customWidth="1"/>
  </cols>
  <sheetData>
    <row r="1" spans="1:1" x14ac:dyDescent="0.25">
      <c r="A1" s="52" t="s">
        <v>89</v>
      </c>
    </row>
    <row r="3" spans="1:1" x14ac:dyDescent="0.25">
      <c r="A3" s="52" t="s">
        <v>90</v>
      </c>
    </row>
    <row r="4" spans="1:1" x14ac:dyDescent="0.25">
      <c r="A4" s="52" t="s">
        <v>91</v>
      </c>
    </row>
    <row r="5" spans="1:1" x14ac:dyDescent="0.25">
      <c r="A5" s="52" t="s">
        <v>92</v>
      </c>
    </row>
    <row r="7" spans="1:1" x14ac:dyDescent="0.25">
      <c r="A7" s="52" t="s">
        <v>311</v>
      </c>
    </row>
    <row r="8" spans="1:1" x14ac:dyDescent="0.25">
      <c r="A8" s="52" t="s">
        <v>312</v>
      </c>
    </row>
    <row r="11" spans="1:1" x14ac:dyDescent="0.25">
      <c r="A11" s="52" t="s">
        <v>95</v>
      </c>
    </row>
    <row r="12" spans="1:1" x14ac:dyDescent="0.25">
      <c r="A12" s="52" t="s">
        <v>96</v>
      </c>
    </row>
    <row r="13" spans="1:1" x14ac:dyDescent="0.25">
      <c r="A13" s="52" t="s">
        <v>103</v>
      </c>
    </row>
    <row r="15" spans="1:1" x14ac:dyDescent="0.25">
      <c r="A15" s="52" t="s">
        <v>104</v>
      </c>
    </row>
    <row r="16" spans="1:1" x14ac:dyDescent="0.25">
      <c r="A16" s="52" t="s">
        <v>97</v>
      </c>
    </row>
    <row r="17" spans="1:1" x14ac:dyDescent="0.25">
      <c r="A17" s="52" t="s">
        <v>98</v>
      </c>
    </row>
    <row r="18" spans="1:1" x14ac:dyDescent="0.25">
      <c r="A18" s="52" t="s">
        <v>218</v>
      </c>
    </row>
    <row r="19" spans="1:1" x14ac:dyDescent="0.25">
      <c r="A19" s="52" t="s">
        <v>99</v>
      </c>
    </row>
    <row r="20" spans="1:1" x14ac:dyDescent="0.25">
      <c r="A20" s="52" t="s">
        <v>105</v>
      </c>
    </row>
    <row r="21" spans="1:1" x14ac:dyDescent="0.25">
      <c r="A21" s="52" t="s">
        <v>108</v>
      </c>
    </row>
    <row r="22" spans="1:1" x14ac:dyDescent="0.25">
      <c r="A22" s="52" t="s">
        <v>106</v>
      </c>
    </row>
    <row r="23" spans="1:1" x14ac:dyDescent="0.25">
      <c r="A23" s="52" t="s">
        <v>239</v>
      </c>
    </row>
    <row r="24" spans="1:1" x14ac:dyDescent="0.25">
      <c r="A24" s="52" t="s">
        <v>100</v>
      </c>
    </row>
    <row r="25" spans="1:1" x14ac:dyDescent="0.25">
      <c r="A25" s="52" t="s">
        <v>101</v>
      </c>
    </row>
    <row r="26" spans="1:1" x14ac:dyDescent="0.25">
      <c r="A26" s="52" t="s">
        <v>107</v>
      </c>
    </row>
    <row r="27" spans="1:1" x14ac:dyDescent="0.25">
      <c r="A27" s="52" t="s">
        <v>109</v>
      </c>
    </row>
    <row r="29" spans="1:1" x14ac:dyDescent="0.25">
      <c r="A29" s="52" t="s">
        <v>221</v>
      </c>
    </row>
    <row r="31" spans="1:1" x14ac:dyDescent="0.25">
      <c r="A31" s="52" t="s">
        <v>217</v>
      </c>
    </row>
    <row r="32" spans="1:1" x14ac:dyDescent="0.25">
      <c r="A32" s="52" t="s">
        <v>153</v>
      </c>
    </row>
    <row r="33" spans="1:1" x14ac:dyDescent="0.25">
      <c r="A33" s="52" t="s">
        <v>154</v>
      </c>
    </row>
    <row r="34" spans="1:1" x14ac:dyDescent="0.25">
      <c r="A34" s="52" t="s">
        <v>155</v>
      </c>
    </row>
    <row r="36" spans="1:1" x14ac:dyDescent="0.25">
      <c r="A36" s="52" t="s">
        <v>156</v>
      </c>
    </row>
    <row r="37" spans="1:1" x14ac:dyDescent="0.25">
      <c r="A37" s="52" t="s">
        <v>306</v>
      </c>
    </row>
    <row r="46" spans="1:1" x14ac:dyDescent="0.25">
      <c r="A46" s="52" t="s">
        <v>321</v>
      </c>
    </row>
    <row r="47" spans="1:1" x14ac:dyDescent="0.25">
      <c r="A47" s="52" t="s">
        <v>240</v>
      </c>
    </row>
    <row r="48" spans="1:1" x14ac:dyDescent="0.25">
      <c r="A48" s="52" t="s">
        <v>222</v>
      </c>
    </row>
    <row r="49" spans="1:1" x14ac:dyDescent="0.25">
      <c r="A49" s="52" t="s">
        <v>223</v>
      </c>
    </row>
    <row r="50" spans="1:1" x14ac:dyDescent="0.25">
      <c r="A50" s="52" t="s">
        <v>224</v>
      </c>
    </row>
    <row r="51" spans="1:1" x14ac:dyDescent="0.25">
      <c r="A51" s="52" t="s">
        <v>299</v>
      </c>
    </row>
    <row r="56" spans="1:1" x14ac:dyDescent="0.25">
      <c r="A56" s="52" t="s">
        <v>89</v>
      </c>
    </row>
    <row r="58" spans="1:1" x14ac:dyDescent="0.25">
      <c r="A58" s="52" t="s">
        <v>242</v>
      </c>
    </row>
    <row r="59" spans="1:1" x14ac:dyDescent="0.25">
      <c r="A59" s="52" t="s">
        <v>354</v>
      </c>
    </row>
    <row r="60" spans="1:1" x14ac:dyDescent="0.25">
      <c r="A60" s="52" t="s">
        <v>243</v>
      </c>
    </row>
    <row r="61" spans="1:1" x14ac:dyDescent="0.25">
      <c r="A61" s="52" t="s">
        <v>244</v>
      </c>
    </row>
    <row r="62" spans="1:1" x14ac:dyDescent="0.25">
      <c r="A62" s="52" t="s">
        <v>245</v>
      </c>
    </row>
    <row r="63" spans="1:1" x14ac:dyDescent="0.25">
      <c r="A63" s="52" t="s">
        <v>314</v>
      </c>
    </row>
    <row r="64" spans="1:1" x14ac:dyDescent="0.25">
      <c r="A64" s="52" t="s">
        <v>246</v>
      </c>
    </row>
    <row r="66" spans="1:2" x14ac:dyDescent="0.25">
      <c r="A66" s="52" t="s">
        <v>252</v>
      </c>
    </row>
    <row r="73" spans="1:2" x14ac:dyDescent="0.25">
      <c r="A73" s="52" t="s">
        <v>328</v>
      </c>
    </row>
    <row r="74" spans="1:2" x14ac:dyDescent="0.25">
      <c r="A74" s="52" t="s">
        <v>111</v>
      </c>
    </row>
    <row r="76" spans="1:2" x14ac:dyDescent="0.25">
      <c r="A76" s="52" t="s">
        <v>112</v>
      </c>
    </row>
    <row r="77" spans="1:2" x14ac:dyDescent="0.25">
      <c r="B77" t="s">
        <v>113</v>
      </c>
    </row>
    <row r="79" spans="1:2" x14ac:dyDescent="0.25">
      <c r="A79" s="52" t="s">
        <v>114</v>
      </c>
    </row>
    <row r="80" spans="1:2" x14ac:dyDescent="0.25">
      <c r="B80" t="s">
        <v>115</v>
      </c>
    </row>
    <row r="82" spans="1:3" x14ac:dyDescent="0.25">
      <c r="A82" s="52" t="s">
        <v>116</v>
      </c>
    </row>
    <row r="84" spans="1:3" x14ac:dyDescent="0.25">
      <c r="A84" s="52" t="s">
        <v>74</v>
      </c>
      <c r="C84" t="s">
        <v>117</v>
      </c>
    </row>
    <row r="85" spans="1:3" x14ac:dyDescent="0.25">
      <c r="A85" s="52" t="s">
        <v>75</v>
      </c>
      <c r="C85" t="s">
        <v>118</v>
      </c>
    </row>
    <row r="86" spans="1:3" x14ac:dyDescent="0.25">
      <c r="A86" s="52" t="s">
        <v>16</v>
      </c>
      <c r="C86" t="s">
        <v>352</v>
      </c>
    </row>
    <row r="87" spans="1:3" x14ac:dyDescent="0.25">
      <c r="A87" s="52" t="s">
        <v>17</v>
      </c>
      <c r="C87" t="s">
        <v>119</v>
      </c>
    </row>
    <row r="88" spans="1:3" x14ac:dyDescent="0.25">
      <c r="A88" s="52" t="s">
        <v>86</v>
      </c>
      <c r="C88" t="s">
        <v>122</v>
      </c>
    </row>
    <row r="89" spans="1:3" x14ac:dyDescent="0.25">
      <c r="A89" s="52" t="s">
        <v>87</v>
      </c>
      <c r="C89" t="s">
        <v>120</v>
      </c>
    </row>
    <row r="90" spans="1:3" x14ac:dyDescent="0.25">
      <c r="A90" s="52" t="s">
        <v>88</v>
      </c>
      <c r="C90" t="s">
        <v>121</v>
      </c>
    </row>
    <row r="91" spans="1:3" x14ac:dyDescent="0.25">
      <c r="A91" s="52" t="s">
        <v>13</v>
      </c>
      <c r="C91" t="s">
        <v>123</v>
      </c>
    </row>
    <row r="93" spans="1:3" x14ac:dyDescent="0.25">
      <c r="A93" s="52" t="s">
        <v>6</v>
      </c>
      <c r="C93" t="s">
        <v>124</v>
      </c>
    </row>
    <row r="94" spans="1:3" x14ac:dyDescent="0.25">
      <c r="A94" s="52" t="s">
        <v>7</v>
      </c>
      <c r="C94" t="s">
        <v>125</v>
      </c>
    </row>
    <row r="95" spans="1:3" x14ac:dyDescent="0.25">
      <c r="A95" s="52" t="s">
        <v>8</v>
      </c>
      <c r="C95" t="s">
        <v>126</v>
      </c>
    </row>
    <row r="96" spans="1:3" x14ac:dyDescent="0.25">
      <c r="A96" s="52" t="s">
        <v>9</v>
      </c>
      <c r="C96" t="s">
        <v>127</v>
      </c>
    </row>
    <row r="97" spans="1:3" x14ac:dyDescent="0.25">
      <c r="A97" s="52" t="s">
        <v>76</v>
      </c>
      <c r="C97" t="s">
        <v>128</v>
      </c>
    </row>
    <row r="98" spans="1:3" x14ac:dyDescent="0.25">
      <c r="A98" s="52" t="s">
        <v>77</v>
      </c>
      <c r="C98" t="s">
        <v>322</v>
      </c>
    </row>
    <row r="99" spans="1:3" x14ac:dyDescent="0.25">
      <c r="A99" s="52" t="s">
        <v>78</v>
      </c>
      <c r="C99" t="s">
        <v>323</v>
      </c>
    </row>
    <row r="100" spans="1:3" x14ac:dyDescent="0.25">
      <c r="A100" s="52" t="s">
        <v>79</v>
      </c>
      <c r="C100" t="s">
        <v>324</v>
      </c>
    </row>
    <row r="101" spans="1:3" x14ac:dyDescent="0.25">
      <c r="A101" s="52" t="s">
        <v>80</v>
      </c>
      <c r="C101" t="s">
        <v>129</v>
      </c>
    </row>
    <row r="102" spans="1:3" x14ac:dyDescent="0.25">
      <c r="A102" s="52" t="s">
        <v>81</v>
      </c>
      <c r="C102" t="s">
        <v>130</v>
      </c>
    </row>
    <row r="103" spans="1:3" x14ac:dyDescent="0.25">
      <c r="A103" s="52" t="s">
        <v>82</v>
      </c>
      <c r="C103" t="s">
        <v>131</v>
      </c>
    </row>
    <row r="104" spans="1:3" x14ac:dyDescent="0.25">
      <c r="A104" s="52" t="s">
        <v>83</v>
      </c>
      <c r="C104" t="s">
        <v>325</v>
      </c>
    </row>
    <row r="105" spans="1:3" x14ac:dyDescent="0.25">
      <c r="A105" s="52" t="s">
        <v>13</v>
      </c>
      <c r="C105" t="s">
        <v>132</v>
      </c>
    </row>
    <row r="106" spans="1:3" x14ac:dyDescent="0.25">
      <c r="A106" s="52" t="s">
        <v>15</v>
      </c>
      <c r="C106" t="s">
        <v>133</v>
      </c>
    </row>
    <row r="108" spans="1:3" x14ac:dyDescent="0.25">
      <c r="A108" s="52" t="s">
        <v>138</v>
      </c>
      <c r="B108" t="s">
        <v>139</v>
      </c>
    </row>
    <row r="109" spans="1:3" x14ac:dyDescent="0.25">
      <c r="B109" t="s">
        <v>141</v>
      </c>
    </row>
    <row r="110" spans="1:3" x14ac:dyDescent="0.25">
      <c r="B110" t="s">
        <v>140</v>
      </c>
    </row>
    <row r="116" spans="1:1" x14ac:dyDescent="0.25">
      <c r="A116" s="52" t="s">
        <v>327</v>
      </c>
    </row>
    <row r="117" spans="1:1" x14ac:dyDescent="0.25">
      <c r="A117" s="52" t="s">
        <v>302</v>
      </c>
    </row>
    <row r="118" spans="1:1" x14ac:dyDescent="0.25">
      <c r="A118" s="52" t="s">
        <v>1</v>
      </c>
    </row>
    <row r="119" spans="1:1" x14ac:dyDescent="0.25">
      <c r="A119" s="52" t="s">
        <v>296</v>
      </c>
    </row>
    <row r="120" spans="1:1" x14ac:dyDescent="0.25">
      <c r="A120" s="52" t="s">
        <v>297</v>
      </c>
    </row>
    <row r="121" spans="1:1" x14ac:dyDescent="0.25">
      <c r="A121" s="52" t="s">
        <v>20</v>
      </c>
    </row>
    <row r="122" spans="1:1" x14ac:dyDescent="0.25">
      <c r="A122" s="52" t="s">
        <v>21</v>
      </c>
    </row>
    <row r="123" spans="1:1" x14ac:dyDescent="0.25">
      <c r="A123" s="52" t="s">
        <v>18</v>
      </c>
    </row>
    <row r="124" spans="1:1" x14ac:dyDescent="0.25">
      <c r="A124" s="52" t="s">
        <v>19</v>
      </c>
    </row>
    <row r="125" spans="1:1" x14ac:dyDescent="0.25">
      <c r="A125" s="52" t="s">
        <v>22</v>
      </c>
    </row>
    <row r="126" spans="1:1" x14ac:dyDescent="0.25">
      <c r="A126" s="52" t="s">
        <v>0</v>
      </c>
    </row>
    <row r="130" spans="1:1" x14ac:dyDescent="0.25">
      <c r="A130" s="52" t="s">
        <v>89</v>
      </c>
    </row>
    <row r="131" spans="1:1" x14ac:dyDescent="0.25">
      <c r="A131" s="52" t="s">
        <v>334</v>
      </c>
    </row>
    <row r="132" spans="1:1" x14ac:dyDescent="0.25">
      <c r="A132" s="52" t="s">
        <v>333</v>
      </c>
    </row>
    <row r="133" spans="1:1" x14ac:dyDescent="0.25">
      <c r="A133" s="52" t="s">
        <v>336</v>
      </c>
    </row>
    <row r="134" spans="1:1" x14ac:dyDescent="0.25">
      <c r="A134" s="52" t="s">
        <v>337</v>
      </c>
    </row>
    <row r="136" spans="1:1" x14ac:dyDescent="0.25">
      <c r="A136" s="52" t="s">
        <v>338</v>
      </c>
    </row>
    <row r="138" spans="1:1" x14ac:dyDescent="0.25">
      <c r="A138" s="52" t="s">
        <v>339</v>
      </c>
    </row>
    <row r="140" spans="1:1" x14ac:dyDescent="0.25">
      <c r="A140" s="52" t="s">
        <v>303</v>
      </c>
    </row>
    <row r="143" spans="1:1" x14ac:dyDescent="0.25">
      <c r="A143" s="52" t="s">
        <v>331</v>
      </c>
    </row>
    <row r="144" spans="1:1" x14ac:dyDescent="0.25">
      <c r="A144" s="52" t="s">
        <v>332</v>
      </c>
    </row>
    <row r="145" spans="1:1" x14ac:dyDescent="0.25">
      <c r="A145" s="52" t="s">
        <v>335</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145"/>
  <sheetViews>
    <sheetView topLeftCell="A49" workbookViewId="0">
      <selection activeCell="A60" sqref="A60"/>
    </sheetView>
  </sheetViews>
  <sheetFormatPr defaultRowHeight="15" x14ac:dyDescent="0.25"/>
  <cols>
    <col min="1" max="1" width="30.85546875" style="65" customWidth="1"/>
  </cols>
  <sheetData>
    <row r="1" spans="1:1" x14ac:dyDescent="0.25">
      <c r="A1" s="65" t="s">
        <v>254</v>
      </c>
    </row>
    <row r="3" spans="1:1" x14ac:dyDescent="0.25">
      <c r="A3" s="65" t="s">
        <v>309</v>
      </c>
    </row>
    <row r="4" spans="1:1" x14ac:dyDescent="0.25">
      <c r="A4" s="65" t="s">
        <v>307</v>
      </c>
    </row>
    <row r="5" spans="1:1" x14ac:dyDescent="0.25">
      <c r="A5" s="65" t="s">
        <v>308</v>
      </c>
    </row>
    <row r="7" spans="1:1" x14ac:dyDescent="0.25">
      <c r="A7" s="65" t="s">
        <v>310</v>
      </c>
    </row>
    <row r="8" spans="1:1" x14ac:dyDescent="0.25">
      <c r="A8" s="65" t="s">
        <v>313</v>
      </c>
    </row>
    <row r="11" spans="1:1" x14ac:dyDescent="0.25">
      <c r="A11" s="65" t="s">
        <v>167</v>
      </c>
    </row>
    <row r="12" spans="1:1" x14ac:dyDescent="0.25">
      <c r="A12" s="65" t="s">
        <v>168</v>
      </c>
    </row>
    <row r="13" spans="1:1" x14ac:dyDescent="0.25">
      <c r="A13" s="65" t="s">
        <v>169</v>
      </c>
    </row>
    <row r="15" spans="1:1" x14ac:dyDescent="0.25">
      <c r="A15" s="65" t="s">
        <v>171</v>
      </c>
    </row>
    <row r="16" spans="1:1" x14ac:dyDescent="0.25">
      <c r="A16" s="65" t="s">
        <v>172</v>
      </c>
    </row>
    <row r="17" spans="1:1" x14ac:dyDescent="0.25">
      <c r="A17" s="65" t="s">
        <v>173</v>
      </c>
    </row>
    <row r="18" spans="1:1" x14ac:dyDescent="0.25">
      <c r="A18" s="65" t="s">
        <v>219</v>
      </c>
    </row>
    <row r="19" spans="1:1" x14ac:dyDescent="0.25">
      <c r="A19" s="65" t="s">
        <v>174</v>
      </c>
    </row>
    <row r="20" spans="1:1" x14ac:dyDescent="0.25">
      <c r="A20" s="65" t="s">
        <v>175</v>
      </c>
    </row>
    <row r="21" spans="1:1" x14ac:dyDescent="0.25">
      <c r="A21" s="65" t="s">
        <v>176</v>
      </c>
    </row>
    <row r="22" spans="1:1" x14ac:dyDescent="0.25">
      <c r="A22" s="65" t="s">
        <v>177</v>
      </c>
    </row>
    <row r="23" spans="1:1" x14ac:dyDescent="0.25">
      <c r="A23" s="65" t="s">
        <v>241</v>
      </c>
    </row>
    <row r="24" spans="1:1" x14ac:dyDescent="0.25">
      <c r="A24" s="65" t="s">
        <v>178</v>
      </c>
    </row>
    <row r="25" spans="1:1" x14ac:dyDescent="0.25">
      <c r="A25" s="65" t="s">
        <v>179</v>
      </c>
    </row>
    <row r="26" spans="1:1" x14ac:dyDescent="0.25">
      <c r="A26" s="65" t="s">
        <v>180</v>
      </c>
    </row>
    <row r="27" spans="1:1" x14ac:dyDescent="0.25">
      <c r="A27" s="65" t="s">
        <v>181</v>
      </c>
    </row>
    <row r="29" spans="1:1" x14ac:dyDescent="0.25">
      <c r="A29" s="65" t="s">
        <v>183</v>
      </c>
    </row>
    <row r="31" spans="1:1" x14ac:dyDescent="0.25">
      <c r="A31" s="65" t="s">
        <v>184</v>
      </c>
    </row>
    <row r="32" spans="1:1" x14ac:dyDescent="0.25">
      <c r="A32" s="65" t="s">
        <v>220</v>
      </c>
    </row>
    <row r="33" spans="1:1" x14ac:dyDescent="0.25">
      <c r="A33" s="65" t="s">
        <v>185</v>
      </c>
    </row>
    <row r="34" spans="1:1" x14ac:dyDescent="0.25">
      <c r="A34" s="65" t="s">
        <v>186</v>
      </c>
    </row>
    <row r="36" spans="1:1" x14ac:dyDescent="0.25">
      <c r="A36" s="65" t="s">
        <v>187</v>
      </c>
    </row>
    <row r="37" spans="1:1" x14ac:dyDescent="0.25">
      <c r="A37" s="65" t="s">
        <v>188</v>
      </c>
    </row>
    <row r="47" spans="1:1" x14ac:dyDescent="0.25">
      <c r="A47" s="65" t="s">
        <v>316</v>
      </c>
    </row>
    <row r="48" spans="1:1" x14ac:dyDescent="0.25">
      <c r="A48" s="65" t="s">
        <v>317</v>
      </c>
    </row>
    <row r="49" spans="1:1" x14ac:dyDescent="0.25">
      <c r="A49" s="65" t="s">
        <v>318</v>
      </c>
    </row>
    <row r="50" spans="1:1" x14ac:dyDescent="0.25">
      <c r="A50" s="65" t="s">
        <v>319</v>
      </c>
    </row>
    <row r="51" spans="1:1" x14ac:dyDescent="0.25">
      <c r="A51" s="65" t="s">
        <v>320</v>
      </c>
    </row>
    <row r="56" spans="1:1" x14ac:dyDescent="0.25">
      <c r="A56" s="65" t="s">
        <v>254</v>
      </c>
    </row>
    <row r="58" spans="1:1" x14ac:dyDescent="0.25">
      <c r="A58" s="65" t="s">
        <v>247</v>
      </c>
    </row>
    <row r="59" spans="1:1" x14ac:dyDescent="0.25">
      <c r="A59" s="65" t="s">
        <v>355</v>
      </c>
    </row>
    <row r="60" spans="1:1" x14ac:dyDescent="0.25">
      <c r="A60" s="65" t="s">
        <v>248</v>
      </c>
    </row>
    <row r="61" spans="1:1" x14ac:dyDescent="0.25">
      <c r="A61" s="65" t="s">
        <v>249</v>
      </c>
    </row>
    <row r="62" spans="1:1" x14ac:dyDescent="0.25">
      <c r="A62" s="65" t="s">
        <v>250</v>
      </c>
    </row>
    <row r="63" spans="1:1" x14ac:dyDescent="0.25">
      <c r="A63" s="65" t="s">
        <v>315</v>
      </c>
    </row>
    <row r="64" spans="1:1" x14ac:dyDescent="0.25">
      <c r="A64" s="65" t="s">
        <v>251</v>
      </c>
    </row>
    <row r="66" spans="1:2" x14ac:dyDescent="0.25">
      <c r="A66" s="65" t="s">
        <v>253</v>
      </c>
    </row>
    <row r="74" spans="1:2" x14ac:dyDescent="0.25">
      <c r="A74" s="65" t="s">
        <v>216</v>
      </c>
    </row>
    <row r="76" spans="1:2" x14ac:dyDescent="0.25">
      <c r="A76" s="65" t="s">
        <v>213</v>
      </c>
    </row>
    <row r="77" spans="1:2" x14ac:dyDescent="0.25">
      <c r="B77" t="s">
        <v>113</v>
      </c>
    </row>
    <row r="79" spans="1:2" x14ac:dyDescent="0.25">
      <c r="A79" s="65" t="s">
        <v>214</v>
      </c>
    </row>
    <row r="80" spans="1:2" x14ac:dyDescent="0.25">
      <c r="B80" t="s">
        <v>215</v>
      </c>
    </row>
    <row r="82" spans="1:3" x14ac:dyDescent="0.25">
      <c r="A82" s="65" t="s">
        <v>189</v>
      </c>
    </row>
    <row r="84" spans="1:3" x14ac:dyDescent="0.25">
      <c r="A84" s="65" t="s">
        <v>74</v>
      </c>
      <c r="C84" t="s">
        <v>190</v>
      </c>
    </row>
    <row r="85" spans="1:3" x14ac:dyDescent="0.25">
      <c r="A85" s="65" t="s">
        <v>75</v>
      </c>
      <c r="C85" t="s">
        <v>191</v>
      </c>
    </row>
    <row r="86" spans="1:3" x14ac:dyDescent="0.25">
      <c r="A86" s="65" t="s">
        <v>16</v>
      </c>
      <c r="C86" t="s">
        <v>351</v>
      </c>
    </row>
    <row r="87" spans="1:3" x14ac:dyDescent="0.25">
      <c r="A87" s="65" t="s">
        <v>17</v>
      </c>
      <c r="C87" t="s">
        <v>192</v>
      </c>
    </row>
    <row r="88" spans="1:3" x14ac:dyDescent="0.25">
      <c r="A88" s="65" t="s">
        <v>86</v>
      </c>
      <c r="C88" t="s">
        <v>193</v>
      </c>
    </row>
    <row r="89" spans="1:3" x14ac:dyDescent="0.25">
      <c r="A89" s="65" t="s">
        <v>87</v>
      </c>
      <c r="C89" t="s">
        <v>194</v>
      </c>
    </row>
    <row r="90" spans="1:3" x14ac:dyDescent="0.25">
      <c r="A90" s="65" t="s">
        <v>88</v>
      </c>
      <c r="C90" t="s">
        <v>195</v>
      </c>
    </row>
    <row r="91" spans="1:3" x14ac:dyDescent="0.25">
      <c r="A91" s="65" t="s">
        <v>13</v>
      </c>
      <c r="C91" t="s">
        <v>196</v>
      </c>
    </row>
    <row r="93" spans="1:3" x14ac:dyDescent="0.25">
      <c r="A93" s="65" t="s">
        <v>6</v>
      </c>
      <c r="C93" t="s">
        <v>197</v>
      </c>
    </row>
    <row r="94" spans="1:3" x14ac:dyDescent="0.25">
      <c r="A94" s="65" t="s">
        <v>7</v>
      </c>
      <c r="C94" t="s">
        <v>198</v>
      </c>
    </row>
    <row r="95" spans="1:3" x14ac:dyDescent="0.25">
      <c r="A95" s="65" t="s">
        <v>8</v>
      </c>
      <c r="C95" t="s">
        <v>199</v>
      </c>
    </row>
    <row r="96" spans="1:3" x14ac:dyDescent="0.25">
      <c r="A96" s="65" t="s">
        <v>9</v>
      </c>
      <c r="C96" t="s">
        <v>200</v>
      </c>
    </row>
    <row r="97" spans="1:3" x14ac:dyDescent="0.25">
      <c r="A97" s="65" t="s">
        <v>76</v>
      </c>
      <c r="C97" t="s">
        <v>201</v>
      </c>
    </row>
    <row r="98" spans="1:3" x14ac:dyDescent="0.25">
      <c r="A98" s="65" t="s">
        <v>77</v>
      </c>
      <c r="C98" t="s">
        <v>326</v>
      </c>
    </row>
    <row r="99" spans="1:3" x14ac:dyDescent="0.25">
      <c r="A99" s="65" t="s">
        <v>78</v>
      </c>
      <c r="C99" t="s">
        <v>202</v>
      </c>
    </row>
    <row r="100" spans="1:3" x14ac:dyDescent="0.25">
      <c r="A100" s="65" t="s">
        <v>79</v>
      </c>
      <c r="C100" t="s">
        <v>203</v>
      </c>
    </row>
    <row r="101" spans="1:3" x14ac:dyDescent="0.25">
      <c r="A101" s="65" t="s">
        <v>80</v>
      </c>
      <c r="C101" t="s">
        <v>204</v>
      </c>
    </row>
    <row r="102" spans="1:3" x14ac:dyDescent="0.25">
      <c r="A102" s="65" t="s">
        <v>81</v>
      </c>
      <c r="C102" t="s">
        <v>205</v>
      </c>
    </row>
    <row r="103" spans="1:3" x14ac:dyDescent="0.25">
      <c r="A103" s="65" t="s">
        <v>82</v>
      </c>
      <c r="C103" t="s">
        <v>206</v>
      </c>
    </row>
    <row r="104" spans="1:3" x14ac:dyDescent="0.25">
      <c r="A104" s="65" t="s">
        <v>83</v>
      </c>
      <c r="C104" t="s">
        <v>207</v>
      </c>
    </row>
    <row r="105" spans="1:3" x14ac:dyDescent="0.25">
      <c r="A105" s="65" t="s">
        <v>13</v>
      </c>
      <c r="C105" t="s">
        <v>208</v>
      </c>
    </row>
    <row r="106" spans="1:3" x14ac:dyDescent="0.25">
      <c r="A106" s="65" t="s">
        <v>15</v>
      </c>
      <c r="C106" t="s">
        <v>209</v>
      </c>
    </row>
    <row r="108" spans="1:3" x14ac:dyDescent="0.25">
      <c r="A108" s="65" t="s">
        <v>138</v>
      </c>
      <c r="B108" t="s">
        <v>210</v>
      </c>
    </row>
    <row r="109" spans="1:3" x14ac:dyDescent="0.25">
      <c r="B109" t="s">
        <v>211</v>
      </c>
    </row>
    <row r="110" spans="1:3" x14ac:dyDescent="0.25">
      <c r="B110" t="s">
        <v>212</v>
      </c>
    </row>
    <row r="117" spans="1:5" x14ac:dyDescent="0.25">
      <c r="A117" s="65" t="s">
        <v>158</v>
      </c>
      <c r="E117" s="52"/>
    </row>
    <row r="118" spans="1:5" x14ac:dyDescent="0.25">
      <c r="A118" s="65" t="s">
        <v>162</v>
      </c>
      <c r="E118" s="52"/>
    </row>
    <row r="119" spans="1:5" x14ac:dyDescent="0.25">
      <c r="A119" s="65" t="s">
        <v>159</v>
      </c>
      <c r="E119" s="52"/>
    </row>
    <row r="120" spans="1:5" x14ac:dyDescent="0.25">
      <c r="A120" s="65" t="s">
        <v>160</v>
      </c>
      <c r="E120" s="52"/>
    </row>
    <row r="121" spans="1:5" x14ac:dyDescent="0.25">
      <c r="A121" s="65" t="s">
        <v>163</v>
      </c>
      <c r="E121" s="52"/>
    </row>
    <row r="122" spans="1:5" x14ac:dyDescent="0.25">
      <c r="A122" s="65" t="s">
        <v>164</v>
      </c>
      <c r="E122" s="52"/>
    </row>
    <row r="123" spans="1:5" x14ac:dyDescent="0.25">
      <c r="A123" s="65" t="s">
        <v>165</v>
      </c>
      <c r="E123" s="52"/>
    </row>
    <row r="124" spans="1:5" x14ac:dyDescent="0.25">
      <c r="A124" s="65" t="s">
        <v>166</v>
      </c>
      <c r="E124" s="52"/>
    </row>
    <row r="125" spans="1:5" x14ac:dyDescent="0.25">
      <c r="A125" s="65" t="s">
        <v>329</v>
      </c>
      <c r="E125" s="52"/>
    </row>
    <row r="126" spans="1:5" x14ac:dyDescent="0.25">
      <c r="A126" s="65" t="s">
        <v>161</v>
      </c>
      <c r="E126" s="52"/>
    </row>
    <row r="130" spans="1:1" x14ac:dyDescent="0.25">
      <c r="A130" s="65" t="s">
        <v>89</v>
      </c>
    </row>
    <row r="131" spans="1:1" x14ac:dyDescent="0.25">
      <c r="A131" s="65" t="s">
        <v>341</v>
      </c>
    </row>
    <row r="132" spans="1:1" x14ac:dyDescent="0.25">
      <c r="A132" s="65" t="s">
        <v>342</v>
      </c>
    </row>
    <row r="133" spans="1:1" x14ac:dyDescent="0.25">
      <c r="A133" s="65" t="s">
        <v>343</v>
      </c>
    </row>
    <row r="134" spans="1:1" x14ac:dyDescent="0.25">
      <c r="A134" s="65" t="s">
        <v>344</v>
      </c>
    </row>
    <row r="136" spans="1:1" x14ac:dyDescent="0.25">
      <c r="A136" s="65" t="s">
        <v>345</v>
      </c>
    </row>
    <row r="138" spans="1:1" x14ac:dyDescent="0.25">
      <c r="A138" s="65" t="s">
        <v>346</v>
      </c>
    </row>
    <row r="140" spans="1:1" x14ac:dyDescent="0.25">
      <c r="A140" s="65" t="s">
        <v>347</v>
      </c>
    </row>
    <row r="143" spans="1:1" x14ac:dyDescent="0.25">
      <c r="A143" s="65" t="s">
        <v>348</v>
      </c>
    </row>
    <row r="144" spans="1:1" x14ac:dyDescent="0.25">
      <c r="A144" s="65" t="s">
        <v>349</v>
      </c>
    </row>
    <row r="145" spans="1:1" x14ac:dyDescent="0.25">
      <c r="A145" s="65" t="s">
        <v>350</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INSTRUCTIONS</vt:lpstr>
      <vt:lpstr>Config</vt:lpstr>
      <vt:lpstr>Data</vt:lpstr>
      <vt:lpstr>Events</vt:lpstr>
      <vt:lpstr>Simulator</vt:lpstr>
      <vt:lpstr>FlexD</vt:lpstr>
      <vt:lpstr>Definitions</vt:lpstr>
      <vt:lpstr>Flowchart</vt:lpstr>
      <vt:lpstr>License</vt:lpstr>
      <vt:lpstr>Lang-EN</vt:lpstr>
      <vt:lpstr>Lang-FR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 ILLIG</dc:creator>
  <cp:lastModifiedBy>Tony ILLIG</cp:lastModifiedBy>
  <cp:lastPrinted>2026-01-29T20:06:14Z</cp:lastPrinted>
  <dcterms:created xsi:type="dcterms:W3CDTF">2026-01-07T12:53:44Z</dcterms:created>
  <dcterms:modified xsi:type="dcterms:W3CDTF">2026-02-20T17:10:51Z</dcterms:modified>
</cp:coreProperties>
</file>