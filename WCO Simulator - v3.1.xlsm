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tony_\OneDrive\Documents\Home\372 Charron\Hydro Quebec\"/>
    </mc:Choice>
  </mc:AlternateContent>
  <bookViews>
    <workbookView xWindow="0" yWindow="0" windowWidth="12855" windowHeight="17430"/>
  </bookViews>
  <sheets>
    <sheet name="INSTRUCTIONS" sheetId="10" r:id="rId1"/>
    <sheet name="Data" sheetId="8" r:id="rId2"/>
    <sheet name="Events" sheetId="9" r:id="rId3"/>
    <sheet name="Simulator" sheetId="1" r:id="rId4"/>
    <sheet name="Definitions" sheetId="6" r:id="rId5"/>
    <sheet name="Flowchart" sheetId="7" r:id="rId6"/>
    <sheet name="SQLite" sheetId="11" r:id="rId7"/>
    <sheet name="License" sheetId="12" r:id="rId8"/>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8" i="9" l="1"/>
  <c r="L18" i="9"/>
  <c r="K18" i="9"/>
  <c r="J18" i="9"/>
  <c r="M17" i="9"/>
  <c r="L17" i="9"/>
  <c r="K17" i="9"/>
  <c r="J17" i="9"/>
  <c r="M16" i="9"/>
  <c r="L16" i="9"/>
  <c r="K16" i="9"/>
  <c r="J16" i="9"/>
  <c r="M15" i="9"/>
  <c r="L15" i="9"/>
  <c r="K15" i="9"/>
  <c r="J15" i="9"/>
  <c r="M14" i="9"/>
  <c r="L14" i="9"/>
  <c r="K14" i="9"/>
  <c r="J14" i="9"/>
  <c r="M13" i="9"/>
  <c r="L13" i="9"/>
  <c r="K13" i="9"/>
  <c r="J13" i="9"/>
  <c r="M12" i="9"/>
  <c r="L12" i="9"/>
  <c r="K12" i="9"/>
  <c r="J12" i="9"/>
  <c r="M11" i="9"/>
  <c r="L11" i="9"/>
  <c r="K11" i="9"/>
  <c r="J11" i="9"/>
  <c r="M10" i="9"/>
  <c r="L10" i="9"/>
  <c r="K10" i="9"/>
  <c r="J10" i="9"/>
  <c r="M9" i="9"/>
  <c r="L9" i="9"/>
  <c r="K9" i="9"/>
  <c r="J9" i="9"/>
  <c r="M8" i="9"/>
  <c r="L8" i="9"/>
  <c r="K8" i="9"/>
  <c r="J8" i="9"/>
  <c r="M7" i="9"/>
  <c r="L7" i="9"/>
  <c r="K7" i="9"/>
  <c r="J7" i="9"/>
  <c r="M6" i="9"/>
  <c r="L6" i="9"/>
  <c r="K6" i="9"/>
  <c r="J6" i="9"/>
  <c r="M5" i="9"/>
  <c r="L5" i="9"/>
  <c r="K5" i="9"/>
  <c r="J5" i="9"/>
  <c r="M4" i="9"/>
  <c r="L4" i="9"/>
  <c r="K4" i="9"/>
  <c r="J4" i="9"/>
  <c r="M3" i="9"/>
  <c r="L3" i="9"/>
  <c r="K3" i="9"/>
  <c r="J3" i="9"/>
  <c r="M2" i="9"/>
  <c r="L2" i="9"/>
  <c r="K2" i="9"/>
  <c r="J2" i="9"/>
  <c r="O15" i="9" l="1"/>
  <c r="O12" i="9"/>
  <c r="O11" i="9"/>
  <c r="N10" i="9"/>
  <c r="O8" i="9"/>
  <c r="O7" i="9"/>
  <c r="O3" i="9"/>
  <c r="O16" i="9"/>
  <c r="O14" i="9"/>
  <c r="N6" i="9"/>
  <c r="N5" i="9"/>
  <c r="N2" i="9"/>
  <c r="O17" i="9"/>
  <c r="O13" i="9"/>
  <c r="O4" i="9"/>
  <c r="O31" i="9"/>
  <c r="Q31" i="9" s="1"/>
  <c r="S31" i="9" s="1"/>
  <c r="N31" i="9"/>
  <c r="P31" i="9" s="1"/>
  <c r="R31" i="9" s="1"/>
  <c r="O30" i="9"/>
  <c r="Q30" i="9" s="1"/>
  <c r="S30" i="9" s="1"/>
  <c r="N30" i="9"/>
  <c r="P30" i="9" s="1"/>
  <c r="R30" i="9" s="1"/>
  <c r="O29" i="9"/>
  <c r="Q29" i="9" s="1"/>
  <c r="S29" i="9" s="1"/>
  <c r="N29" i="9"/>
  <c r="P29" i="9" s="1"/>
  <c r="R29" i="9" s="1"/>
  <c r="O28" i="9"/>
  <c r="Q28" i="9" s="1"/>
  <c r="S28" i="9" s="1"/>
  <c r="N28" i="9"/>
  <c r="P28" i="9" s="1"/>
  <c r="R28" i="9" s="1"/>
  <c r="O27" i="9"/>
  <c r="Q27" i="9" s="1"/>
  <c r="S27" i="9" s="1"/>
  <c r="N27" i="9"/>
  <c r="P27" i="9" s="1"/>
  <c r="R27" i="9" s="1"/>
  <c r="O26" i="9"/>
  <c r="Q26" i="9" s="1"/>
  <c r="S26" i="9" s="1"/>
  <c r="N26" i="9"/>
  <c r="P26" i="9" s="1"/>
  <c r="R26" i="9" s="1"/>
  <c r="O25" i="9"/>
  <c r="Q25" i="9" s="1"/>
  <c r="S25" i="9" s="1"/>
  <c r="N25" i="9"/>
  <c r="P25" i="9" s="1"/>
  <c r="R25" i="9" s="1"/>
  <c r="O24" i="9"/>
  <c r="Q24" i="9" s="1"/>
  <c r="S24" i="9" s="1"/>
  <c r="N24" i="9"/>
  <c r="P24" i="9" s="1"/>
  <c r="R24" i="9" s="1"/>
  <c r="O23" i="9"/>
  <c r="Q23" i="9" s="1"/>
  <c r="S23" i="9" s="1"/>
  <c r="N23" i="9"/>
  <c r="P23" i="9" s="1"/>
  <c r="R23" i="9" s="1"/>
  <c r="O22" i="9"/>
  <c r="Q22" i="9" s="1"/>
  <c r="S22" i="9" s="1"/>
  <c r="N22" i="9"/>
  <c r="P22" i="9" s="1"/>
  <c r="R22" i="9" s="1"/>
  <c r="O21" i="9"/>
  <c r="Q21" i="9" s="1"/>
  <c r="S21" i="9" s="1"/>
  <c r="N21" i="9"/>
  <c r="P21" i="9" s="1"/>
  <c r="R21" i="9" s="1"/>
  <c r="O20" i="9"/>
  <c r="Q20" i="9" s="1"/>
  <c r="S20" i="9" s="1"/>
  <c r="N20" i="9"/>
  <c r="P20" i="9" s="1"/>
  <c r="R20" i="9" s="1"/>
  <c r="O19" i="9"/>
  <c r="Q19" i="9" s="1"/>
  <c r="S19" i="9" s="1"/>
  <c r="N19" i="9"/>
  <c r="P19" i="9" s="1"/>
  <c r="R19" i="9" s="1"/>
  <c r="O18" i="9"/>
  <c r="Q18" i="9" s="1"/>
  <c r="S18" i="9" s="1"/>
  <c r="N18" i="9"/>
  <c r="P18" i="9" s="1"/>
  <c r="R18" i="9" s="1"/>
  <c r="N13" i="9"/>
  <c r="O9" i="9"/>
  <c r="N9" i="9"/>
  <c r="O6" i="9"/>
  <c r="H32" i="9"/>
  <c r="N12" i="9" l="1"/>
  <c r="P12" i="9" s="1"/>
  <c r="R12" i="9" s="1"/>
  <c r="T12" i="9" s="1"/>
  <c r="Q14" i="9"/>
  <c r="S14" i="9" s="1"/>
  <c r="N11" i="9"/>
  <c r="P11" i="9" s="1"/>
  <c r="R11" i="9" s="1"/>
  <c r="Q9" i="9"/>
  <c r="S9" i="9" s="1"/>
  <c r="Q8" i="9"/>
  <c r="S8" i="9" s="1"/>
  <c r="N8" i="9"/>
  <c r="P8" i="9" s="1"/>
  <c r="R8" i="9" s="1"/>
  <c r="T8" i="9" s="1"/>
  <c r="Q7" i="9"/>
  <c r="S7" i="9" s="1"/>
  <c r="Q6" i="9"/>
  <c r="S6" i="9" s="1"/>
  <c r="O5" i="9"/>
  <c r="Q5" i="9" s="1"/>
  <c r="S5" i="9" s="1"/>
  <c r="Q17" i="9"/>
  <c r="S17" i="9" s="1"/>
  <c r="Q16" i="9"/>
  <c r="S16" i="9" s="1"/>
  <c r="N16" i="9"/>
  <c r="P16" i="9" s="1"/>
  <c r="R16" i="9" s="1"/>
  <c r="Q15" i="9"/>
  <c r="S15" i="9" s="1"/>
  <c r="N15" i="9"/>
  <c r="P15" i="9" s="1"/>
  <c r="R15" i="9" s="1"/>
  <c r="T15" i="9" s="1"/>
  <c r="P13" i="9"/>
  <c r="R13" i="9" s="1"/>
  <c r="Q13" i="9"/>
  <c r="S13" i="9" s="1"/>
  <c r="Q12" i="9"/>
  <c r="S12" i="9" s="1"/>
  <c r="Q11" i="9"/>
  <c r="S11" i="9" s="1"/>
  <c r="P10" i="9"/>
  <c r="R10" i="9" s="1"/>
  <c r="T10" i="9" s="1"/>
  <c r="O10" i="9"/>
  <c r="Q10" i="9" s="1"/>
  <c r="S10" i="9" s="1"/>
  <c r="P9" i="9"/>
  <c r="R9" i="9" s="1"/>
  <c r="P6" i="9"/>
  <c r="R6" i="9" s="1"/>
  <c r="P5" i="9"/>
  <c r="R5" i="9" s="1"/>
  <c r="T5" i="9" s="1"/>
  <c r="Q4" i="9"/>
  <c r="S4" i="9" s="1"/>
  <c r="N4" i="9"/>
  <c r="P4" i="9" s="1"/>
  <c r="R4" i="9" s="1"/>
  <c r="Q3" i="9"/>
  <c r="S3" i="9" s="1"/>
  <c r="N3" i="9"/>
  <c r="P3" i="9" s="1"/>
  <c r="R3" i="9" s="1"/>
  <c r="T3" i="9" s="1"/>
  <c r="P2" i="9"/>
  <c r="R2" i="9" s="1"/>
  <c r="N14" i="9"/>
  <c r="P14" i="9" s="1"/>
  <c r="R14" i="9" s="1"/>
  <c r="N17" i="9"/>
  <c r="P17" i="9" s="1"/>
  <c r="R17" i="9" s="1"/>
  <c r="T17" i="9" s="1"/>
  <c r="N7" i="9"/>
  <c r="P7" i="9" s="1"/>
  <c r="R7" i="9" s="1"/>
  <c r="U7" i="9" s="1"/>
  <c r="O2" i="9"/>
  <c r="Q2" i="9" s="1"/>
  <c r="S2" i="9" s="1"/>
  <c r="U22" i="9"/>
  <c r="T22" i="9"/>
  <c r="U31" i="9"/>
  <c r="T31" i="9"/>
  <c r="V31" i="9" s="1"/>
  <c r="W31" i="9" s="1"/>
  <c r="U20" i="9"/>
  <c r="T20" i="9"/>
  <c r="V20" i="9" s="1"/>
  <c r="W20" i="9" s="1"/>
  <c r="U18" i="9"/>
  <c r="T18" i="9"/>
  <c r="U27" i="9"/>
  <c r="T27" i="9"/>
  <c r="U23" i="9"/>
  <c r="T23" i="9"/>
  <c r="V23" i="9" s="1"/>
  <c r="W23" i="9" s="1"/>
  <c r="U25" i="9"/>
  <c r="T25" i="9"/>
  <c r="V25" i="9" s="1"/>
  <c r="W25" i="9" s="1"/>
  <c r="U30" i="9"/>
  <c r="T30" i="9"/>
  <c r="V30" i="9" s="1"/>
  <c r="W30" i="9" s="1"/>
  <c r="U19" i="9"/>
  <c r="T19" i="9"/>
  <c r="U28" i="9"/>
  <c r="T28" i="9"/>
  <c r="V28" i="9" s="1"/>
  <c r="W28" i="9" s="1"/>
  <c r="U24" i="9"/>
  <c r="T24" i="9"/>
  <c r="V24" i="9" s="1"/>
  <c r="W24" i="9" s="1"/>
  <c r="U21" i="9"/>
  <c r="T21" i="9"/>
  <c r="V21" i="9" s="1"/>
  <c r="W21" i="9" s="1"/>
  <c r="U29" i="9"/>
  <c r="T29" i="9"/>
  <c r="U26" i="9"/>
  <c r="T26" i="9"/>
  <c r="V26" i="9" s="1"/>
  <c r="W26" i="9" s="1"/>
  <c r="B16" i="1"/>
  <c r="V29" i="9" l="1"/>
  <c r="W29" i="9" s="1"/>
  <c r="V27" i="9"/>
  <c r="W27" i="9" s="1"/>
  <c r="V22" i="9"/>
  <c r="W22" i="9" s="1"/>
  <c r="U4" i="9"/>
  <c r="U16" i="9"/>
  <c r="U9" i="9"/>
  <c r="V19" i="9"/>
  <c r="W19" i="9" s="1"/>
  <c r="U6" i="9"/>
  <c r="V18" i="9"/>
  <c r="W18" i="9" s="1"/>
  <c r="U14" i="9"/>
  <c r="U13" i="9"/>
  <c r="U15" i="9"/>
  <c r="V15" i="9" s="1"/>
  <c r="W15" i="9" s="1"/>
  <c r="U12" i="9"/>
  <c r="V12" i="9" s="1"/>
  <c r="W12" i="9" s="1"/>
  <c r="U11" i="9"/>
  <c r="T11" i="9"/>
  <c r="T9" i="9"/>
  <c r="T4" i="9"/>
  <c r="U3" i="9"/>
  <c r="V3" i="9" s="1"/>
  <c r="W3" i="9" s="1"/>
  <c r="U8" i="9"/>
  <c r="V8" i="9" s="1"/>
  <c r="W8" i="9" s="1"/>
  <c r="T16" i="9"/>
  <c r="T14" i="9"/>
  <c r="T13" i="9"/>
  <c r="U10" i="9"/>
  <c r="V10" i="9" s="1"/>
  <c r="W10" i="9" s="1"/>
  <c r="T6" i="9"/>
  <c r="U5" i="9"/>
  <c r="V5" i="9" s="1"/>
  <c r="W5" i="9" s="1"/>
  <c r="U17" i="9"/>
  <c r="V17" i="9" s="1"/>
  <c r="W17" i="9" s="1"/>
  <c r="T7" i="9"/>
  <c r="V7" i="9" s="1"/>
  <c r="W7" i="9" s="1"/>
  <c r="T2" i="9"/>
  <c r="U2" i="9"/>
  <c r="V4" i="9" l="1"/>
  <c r="W4" i="9" s="1"/>
  <c r="V16" i="9"/>
  <c r="W16" i="9" s="1"/>
  <c r="V9" i="9"/>
  <c r="W9" i="9" s="1"/>
  <c r="V6" i="9"/>
  <c r="W6" i="9" s="1"/>
  <c r="V14" i="9"/>
  <c r="W14" i="9" s="1"/>
  <c r="V13" i="9"/>
  <c r="W13" i="9" s="1"/>
  <c r="V11" i="9"/>
  <c r="W11" i="9" s="1"/>
  <c r="V2" i="9"/>
  <c r="W2" i="9" s="1"/>
  <c r="W32" i="9" l="1"/>
  <c r="V32" i="9"/>
  <c r="D25" i="1" l="1"/>
  <c r="D26" i="1" l="1"/>
  <c r="D27" i="1" s="1"/>
  <c r="D28" i="1" s="1"/>
  <c r="D29" i="1" s="1"/>
  <c r="D30" i="1" s="1"/>
  <c r="D31" i="1" s="1"/>
  <c r="D32" i="1" s="1"/>
  <c r="D33" i="1" s="1"/>
  <c r="D34" i="1" s="1"/>
  <c r="D35" i="1" s="1"/>
  <c r="D36" i="1" s="1"/>
  <c r="D37" i="1" s="1"/>
  <c r="D38" i="1" s="1"/>
  <c r="D39" i="1" s="1"/>
  <c r="D40" i="1" s="1"/>
  <c r="D41" i="1" s="1"/>
  <c r="D42" i="1" s="1"/>
  <c r="B25" i="1"/>
  <c r="B26" i="1" s="1"/>
  <c r="A25" i="1"/>
  <c r="A26" i="1" s="1"/>
  <c r="A13" i="1"/>
  <c r="B21" i="1" s="1"/>
  <c r="C33" i="1" l="1"/>
  <c r="C34" i="1" s="1"/>
  <c r="C35" i="1" s="1"/>
  <c r="F25" i="1"/>
  <c r="H25" i="1" s="1"/>
  <c r="J25" i="1" s="1"/>
  <c r="B27" i="1"/>
  <c r="F26" i="1"/>
  <c r="H26" i="1" s="1"/>
  <c r="J26" i="1" s="1"/>
  <c r="A27" i="1"/>
  <c r="C32" i="1" l="1"/>
  <c r="C31" i="1" s="1"/>
  <c r="C30" i="1" s="1"/>
  <c r="A28" i="1"/>
  <c r="F27" i="1"/>
  <c r="H27" i="1" s="1"/>
  <c r="J27" i="1" s="1"/>
  <c r="B28" i="1"/>
  <c r="C36" i="1"/>
  <c r="F28" i="1" l="1"/>
  <c r="H28" i="1" s="1"/>
  <c r="J28" i="1" s="1"/>
  <c r="A29" i="1"/>
  <c r="C29" i="1"/>
  <c r="C37" i="1"/>
  <c r="B29" i="1"/>
  <c r="E29" i="1" l="1"/>
  <c r="G29" i="1" s="1"/>
  <c r="I29" i="1" s="1"/>
  <c r="K29" i="1" s="1"/>
  <c r="C28" i="1"/>
  <c r="A30" i="1"/>
  <c r="F29" i="1"/>
  <c r="H29" i="1" s="1"/>
  <c r="J29" i="1" s="1"/>
  <c r="B30" i="1"/>
  <c r="C38" i="1"/>
  <c r="L29" i="1" l="1"/>
  <c r="A31" i="1"/>
  <c r="F30" i="1"/>
  <c r="H30" i="1" s="1"/>
  <c r="J30" i="1" s="1"/>
  <c r="E30" i="1"/>
  <c r="G30" i="1" s="1"/>
  <c r="I30" i="1" s="1"/>
  <c r="K30" i="1" s="1"/>
  <c r="C39" i="1"/>
  <c r="B31" i="1"/>
  <c r="E28" i="1"/>
  <c r="G28" i="1" s="1"/>
  <c r="I28" i="1" s="1"/>
  <c r="K28" i="1" s="1"/>
  <c r="C27" i="1"/>
  <c r="L30" i="1" l="1"/>
  <c r="L28" i="1"/>
  <c r="B32" i="1"/>
  <c r="C40" i="1"/>
  <c r="E27" i="1"/>
  <c r="G27" i="1" s="1"/>
  <c r="I27" i="1" s="1"/>
  <c r="K27" i="1" s="1"/>
  <c r="C26" i="1"/>
  <c r="A32" i="1"/>
  <c r="A33" i="1" s="1"/>
  <c r="F31" i="1"/>
  <c r="H31" i="1" s="1"/>
  <c r="J31" i="1" s="1"/>
  <c r="E31" i="1"/>
  <c r="G31" i="1" s="1"/>
  <c r="I31" i="1" s="1"/>
  <c r="K31" i="1" s="1"/>
  <c r="L31" i="1" l="1"/>
  <c r="L27" i="1"/>
  <c r="C41" i="1"/>
  <c r="B33" i="1"/>
  <c r="F32" i="1"/>
  <c r="H32" i="1" s="1"/>
  <c r="J32" i="1" s="1"/>
  <c r="E32" i="1"/>
  <c r="G32" i="1" s="1"/>
  <c r="I32" i="1" s="1"/>
  <c r="K32" i="1" s="1"/>
  <c r="E26" i="1"/>
  <c r="G26" i="1" s="1"/>
  <c r="I26" i="1" s="1"/>
  <c r="K26" i="1" s="1"/>
  <c r="C25" i="1"/>
  <c r="E25" i="1" s="1"/>
  <c r="G25" i="1" s="1"/>
  <c r="I25" i="1" s="1"/>
  <c r="K25" i="1" s="1"/>
  <c r="L32" i="1" l="1"/>
  <c r="A34" i="1"/>
  <c r="F33" i="1"/>
  <c r="H33" i="1" s="1"/>
  <c r="J33" i="1" s="1"/>
  <c r="E33" i="1"/>
  <c r="G33" i="1" s="1"/>
  <c r="B34" i="1"/>
  <c r="L25" i="1"/>
  <c r="L26" i="1"/>
  <c r="C42" i="1"/>
  <c r="I33" i="1" l="1"/>
  <c r="K33" i="1" s="1"/>
  <c r="B35" i="1"/>
  <c r="A35" i="1"/>
  <c r="F34" i="1"/>
  <c r="H34" i="1" s="1"/>
  <c r="J34" i="1" s="1"/>
  <c r="E34" i="1"/>
  <c r="G34" i="1" s="1"/>
  <c r="I34" i="1" s="1"/>
  <c r="K34" i="1" s="1"/>
  <c r="L33" i="1" l="1"/>
  <c r="L34" i="1"/>
  <c r="A36" i="1"/>
  <c r="F35" i="1"/>
  <c r="H35" i="1" s="1"/>
  <c r="J35" i="1" s="1"/>
  <c r="E35" i="1"/>
  <c r="G35" i="1" s="1"/>
  <c r="I35" i="1" s="1"/>
  <c r="K35" i="1" s="1"/>
  <c r="B36" i="1"/>
  <c r="L35" i="1" l="1"/>
  <c r="B37" i="1"/>
  <c r="F36" i="1"/>
  <c r="H36" i="1" s="1"/>
  <c r="J36" i="1" s="1"/>
  <c r="A37" i="1"/>
  <c r="E36" i="1"/>
  <c r="G36" i="1" s="1"/>
  <c r="I36" i="1" s="1"/>
  <c r="K36" i="1" s="1"/>
  <c r="L36" i="1" l="1"/>
  <c r="A38" i="1"/>
  <c r="F37" i="1"/>
  <c r="H37" i="1" s="1"/>
  <c r="J37" i="1" s="1"/>
  <c r="E37" i="1"/>
  <c r="G37" i="1" s="1"/>
  <c r="I37" i="1" s="1"/>
  <c r="K37" i="1" s="1"/>
  <c r="B38" i="1"/>
  <c r="L37" i="1" l="1"/>
  <c r="B39" i="1"/>
  <c r="A39" i="1"/>
  <c r="F38" i="1"/>
  <c r="H38" i="1" s="1"/>
  <c r="J38" i="1" s="1"/>
  <c r="E38" i="1"/>
  <c r="G38" i="1" s="1"/>
  <c r="I38" i="1" s="1"/>
  <c r="K38" i="1" s="1"/>
  <c r="L38" i="1" l="1"/>
  <c r="A40" i="1"/>
  <c r="F39" i="1"/>
  <c r="H39" i="1" s="1"/>
  <c r="J39" i="1" s="1"/>
  <c r="E39" i="1"/>
  <c r="G39" i="1" s="1"/>
  <c r="I39" i="1" s="1"/>
  <c r="K39" i="1" s="1"/>
  <c r="B40" i="1"/>
  <c r="L39" i="1" l="1"/>
  <c r="B41" i="1"/>
  <c r="A41" i="1"/>
  <c r="F40" i="1"/>
  <c r="H40" i="1" s="1"/>
  <c r="J40" i="1" s="1"/>
  <c r="E40" i="1"/>
  <c r="G40" i="1" s="1"/>
  <c r="I40" i="1" s="1"/>
  <c r="K40" i="1" s="1"/>
  <c r="L40" i="1" l="1"/>
  <c r="A42" i="1"/>
  <c r="F41" i="1"/>
  <c r="H41" i="1" s="1"/>
  <c r="J41" i="1" s="1"/>
  <c r="E41" i="1"/>
  <c r="G41" i="1" s="1"/>
  <c r="I41" i="1" s="1"/>
  <c r="K41" i="1" s="1"/>
  <c r="B42" i="1"/>
  <c r="L41" i="1" l="1"/>
  <c r="F42" i="1"/>
  <c r="H42" i="1" s="1"/>
  <c r="J42" i="1" s="1"/>
  <c r="E42" i="1"/>
  <c r="G42" i="1" s="1"/>
  <c r="I42" i="1" s="1"/>
  <c r="K42" i="1" s="1"/>
  <c r="K44" i="1" l="1"/>
  <c r="L42" i="1"/>
  <c r="L44" i="1" s="1"/>
  <c r="C17" i="1" s="1"/>
  <c r="C16" i="1" l="1"/>
  <c r="E21" i="1" s="1"/>
  <c r="F17" i="1"/>
  <c r="F16" i="1"/>
</calcChain>
</file>

<file path=xl/comments1.xml><?xml version="1.0" encoding="utf-8"?>
<comments xmlns="http://schemas.openxmlformats.org/spreadsheetml/2006/main">
  <authors>
    <author>Tony ILLIG</author>
  </authors>
  <commentList>
    <comment ref="J1" authorId="0" shapeId="0">
      <text>
        <r>
          <rPr>
            <sz val="9"/>
            <color indexed="81"/>
            <rFont val="Tahoma"/>
            <family val="2"/>
          </rPr>
          <t>Anchor average kWh based on the Reference Period (5 previous similar non-critical days and periods). Hourly data has MIN and MAX removed.</t>
        </r>
        <r>
          <rPr>
            <b/>
            <sz val="9"/>
            <color indexed="81"/>
            <rFont val="Tahoma"/>
            <family val="2"/>
          </rPr>
          <t xml:space="preserve">
</t>
        </r>
        <r>
          <rPr>
            <sz val="9"/>
            <color indexed="81"/>
            <rFont val="Tahoma"/>
            <family val="2"/>
          </rPr>
          <t xml:space="preserve">
</t>
        </r>
      </text>
    </comment>
    <comment ref="K1" authorId="0" shapeId="0">
      <text>
        <r>
          <rPr>
            <sz val="9"/>
            <color indexed="81"/>
            <rFont val="Tahoma"/>
            <family val="2"/>
          </rPr>
          <t xml:space="preserve">Peak average kWh based on the Reference Period (5 previous similar non-critical days and periods). Hourly data has MIN and MAX removed.
</t>
        </r>
      </text>
    </comment>
    <comment ref="L1" authorId="0" shapeId="0">
      <text>
        <r>
          <rPr>
            <sz val="9"/>
            <color indexed="81"/>
            <rFont val="Tahoma"/>
            <family val="2"/>
          </rPr>
          <t xml:space="preserve">Actual kWh consumed during the critical anchor period.
</t>
        </r>
      </text>
    </comment>
    <comment ref="M1" authorId="0" shapeId="0">
      <text>
        <r>
          <rPr>
            <sz val="9"/>
            <color indexed="81"/>
            <rFont val="Tahoma"/>
            <family val="2"/>
          </rPr>
          <t xml:space="preserve">Peak kWh consumed during the critical anchor period. This should match column F.
</t>
        </r>
      </text>
    </comment>
    <comment ref="N1" authorId="0" shapeId="0">
      <text>
        <r>
          <rPr>
            <sz val="9"/>
            <color indexed="81"/>
            <rFont val="Tahoma"/>
            <family val="2"/>
          </rPr>
          <t xml:space="preserve">Temperature Adjustment using Method 1 (used if curtailed energy is 40kWh or less). Temperature adjustment equals Anchor Actual less Anchor Average. Cannot be less than zero.
</t>
        </r>
      </text>
    </comment>
    <comment ref="O1" authorId="0" shapeId="0">
      <text>
        <r>
          <rPr>
            <sz val="9"/>
            <color indexed="81"/>
            <rFont val="Tahoma"/>
            <family val="2"/>
          </rPr>
          <t xml:space="preserve">Temperature Adjustment using Method 2 (used if curtailed energy is greater than 40kWh). Temperature adjustment is limited to 2 times the Anchor Average. Anchor Actual is ignored.
</t>
        </r>
      </text>
    </comment>
    <comment ref="P1" authorId="0" shapeId="0">
      <text>
        <r>
          <rPr>
            <sz val="9"/>
            <color indexed="81"/>
            <rFont val="Tahoma"/>
            <family val="2"/>
          </rPr>
          <t xml:space="preserve">Reference Energy using Method 1. Reference Energy equals Anchor Actual less Anchor Average plus Temperature Adjustment using Method 1.
</t>
        </r>
      </text>
    </comment>
    <comment ref="Q1" authorId="0" shapeId="0">
      <text>
        <r>
          <rPr>
            <sz val="9"/>
            <color indexed="81"/>
            <rFont val="Tahoma"/>
            <family val="2"/>
          </rPr>
          <t xml:space="preserve">
Reference Energy using Method 2. Reference Energy equals Anchor Actual less Anchor Average plus Temperature Adjustment using Method 2.
</t>
        </r>
      </text>
    </comment>
    <comment ref="R1" authorId="0" shapeId="0">
      <text>
        <r>
          <rPr>
            <sz val="9"/>
            <color indexed="81"/>
            <rFont val="Tahoma"/>
            <family val="2"/>
          </rPr>
          <t xml:space="preserve">Energy Curtailed with Method 1. Energy Curtailed equals Reference Energy using Method 1 less Peak Actual.
</t>
        </r>
      </text>
    </comment>
    <comment ref="S1" authorId="0" shapeId="0">
      <text>
        <r>
          <rPr>
            <sz val="9"/>
            <color indexed="81"/>
            <rFont val="Tahoma"/>
            <family val="2"/>
          </rPr>
          <t xml:space="preserve">Energy Curtailed with Method 2. Energy Curtailed equals Reference Energy using Method 2 less Peak Actual.
</t>
        </r>
      </text>
    </comment>
    <comment ref="T1" authorId="0" shapeId="0">
      <text>
        <r>
          <rPr>
            <sz val="9"/>
            <color indexed="81"/>
            <rFont val="Tahoma"/>
            <family val="2"/>
          </rPr>
          <t xml:space="preserve">Credit in $ if Energy Curtailed Method 1 results in 40 kWh or less, otherwise 0$.
</t>
        </r>
      </text>
    </comment>
    <comment ref="U1" authorId="0" shapeId="0">
      <text>
        <r>
          <rPr>
            <sz val="9"/>
            <color indexed="81"/>
            <rFont val="Tahoma"/>
            <family val="2"/>
          </rPr>
          <t xml:space="preserve">Credit in $ if Energy Curtailed Method 1 results in greater than 40 kWh, otherwise 0$.
</t>
        </r>
      </text>
    </comment>
    <comment ref="V1" authorId="0" shapeId="0">
      <text>
        <r>
          <rPr>
            <sz val="9"/>
            <color indexed="81"/>
            <rFont val="Tahoma"/>
            <family val="2"/>
          </rPr>
          <t>Actual calculated credit. This should equal column H, but may not, especially for Method 2.</t>
        </r>
      </text>
    </comment>
    <comment ref="W1" authorId="0" shapeId="0">
      <text>
        <r>
          <rPr>
            <sz val="9"/>
            <color indexed="81"/>
            <rFont val="Tahoma"/>
            <family val="2"/>
          </rPr>
          <t xml:space="preserve">Difference between the true calculated credit and HQ''s published credit.
</t>
        </r>
      </text>
    </comment>
  </commentList>
</comments>
</file>

<file path=xl/sharedStrings.xml><?xml version="1.0" encoding="utf-8"?>
<sst xmlns="http://schemas.openxmlformats.org/spreadsheetml/2006/main" count="475" uniqueCount="338">
  <si>
    <t>WCO Anchor Avg</t>
  </si>
  <si>
    <t>WCO Peak Avg</t>
  </si>
  <si>
    <t>The table tests increases in Actual Anchor starting at actual = average</t>
  </si>
  <si>
    <t>$/kWh Curtailed</t>
  </si>
  <si>
    <t>The red numbers are the results, in $ of the credit</t>
  </si>
  <si>
    <t>PM</t>
  </si>
  <si>
    <t>AM or PM simulation</t>
  </si>
  <si>
    <t>Temperature Adj</t>
  </si>
  <si>
    <t>Energy Reference</t>
  </si>
  <si>
    <t>Curtailed Energy</t>
  </si>
  <si>
    <t>Hydro Credit $</t>
  </si>
  <si>
    <t>Anchor Avg</t>
  </si>
  <si>
    <t>Peak Avg</t>
  </si>
  <si>
    <t>Anchor Actual</t>
  </si>
  <si>
    <t>Peak Actual</t>
  </si>
  <si>
    <t>M1</t>
  </si>
  <si>
    <t>M2</t>
  </si>
  <si>
    <t>Maximum Credit</t>
  </si>
  <si>
    <t>Credit</t>
  </si>
  <si>
    <t>Mode</t>
  </si>
  <si>
    <t>stay under target</t>
  </si>
  <si>
    <t>exceed target</t>
  </si>
  <si>
    <t>Always use Target 1, no matter what, what decides the max credit is whether</t>
  </si>
  <si>
    <t>we are under target or over target</t>
  </si>
  <si>
    <t>AM</t>
  </si>
  <si>
    <t>Best Option</t>
  </si>
  <si>
    <t>WCO 2025/2026 Simulator using Calculated Anchor and Peak Averages to Maximise Savings</t>
  </si>
  <si>
    <t>#1</t>
  </si>
  <si>
    <t>#2</t>
  </si>
  <si>
    <t>#3</t>
  </si>
  <si>
    <t>#4</t>
  </si>
  <si>
    <t>#5</t>
  </si>
  <si>
    <t>#6</t>
  </si>
  <si>
    <t>#7</t>
  </si>
  <si>
    <t>Target-&gt;</t>
  </si>
  <si>
    <t>#8</t>
  </si>
  <si>
    <t>#9</t>
  </si>
  <si>
    <t>#10</t>
  </si>
  <si>
    <t>#11</t>
  </si>
  <si>
    <t>#12</t>
  </si>
  <si>
    <t>date</t>
  </si>
  <si>
    <t>Diff</t>
  </si>
  <si>
    <t>Date</t>
  </si>
  <si>
    <t>Period</t>
  </si>
  <si>
    <t>Version 2.3 - Jan 25, 2026</t>
  </si>
  <si>
    <t>Estimated Peak</t>
  </si>
  <si>
    <t>Actual Peak</t>
  </si>
  <si>
    <t>Estimated Anchor</t>
  </si>
  <si>
    <t>Actual Anchor</t>
  </si>
  <si>
    <t>Calculated Anchor Target</t>
  </si>
  <si>
    <t>Do not modify - this is your anchor target!</t>
  </si>
  <si>
    <t>actual anchor from HQ, leaving blank the simulator will use the anchor target estimate</t>
  </si>
  <si>
    <t>If you wish, you can enter your own anchor target estimate. Leaving it blank the simulator will use the calculated anchor target</t>
  </si>
  <si>
    <t>INSTRUCTIONS</t>
  </si>
  <si>
    <t>Enter AM or PM, or use the pull down selector</t>
  </si>
  <si>
    <t>Enter estimated critical peak usage or use the value of the SQL query for average critical peak</t>
  </si>
  <si>
    <t>Enter value from SQL query</t>
  </si>
  <si>
    <t>Current credit from HQ for each kWh curtailed</t>
  </si>
  <si>
    <t>Missed your Anchor Target? Estimate your best Critical Peak Usage</t>
  </si>
  <si>
    <t>Enter actual critical peak usage from HQ, Leaving it blank will use the estimated peak instead.</t>
  </si>
  <si>
    <t>Anchor</t>
  </si>
  <si>
    <t>Peak</t>
  </si>
  <si>
    <t>energy curtailed: A value, expressed in kilowatthours, corresponding to the difference between the reference energy and the energy consumption during the peak demand event. This value cannot be negative.</t>
  </si>
  <si>
    <t>peak demand event: The sequence of peak hours indicated by Hydro‑Québec in the peak demand event notification sent to the customer in accordance with Article 2.62.</t>
  </si>
  <si>
    <t>peak hours: All hours from 06:00 to 10:00 and from 16:00 to 20:00 during the winter period, excluding December 24, 25, 26 and 31, January 1 and 2, as well as Good Friday and Easter Monday when the latter fall within the winter period.</t>
  </si>
  <si>
    <t>reference energy: A value, expressed in kilowatthours, representing the customer’s estimated energy consumption during the peak demand event according to their normal consumption profile. This value is equal to the sum of the averages of the actual values recorded each hour during the relevant time range in the reference period, excluding the minimum and maximum values for each hour, and the temperature adjustment.</t>
  </si>
  <si>
    <t>temperature adjustment: A value, expressed in kilowatthours, that is equal to the difference between:</t>
  </si>
  <si>
    <t>the sum of the actual values recorded each hour during the period of 3 consecutive hours beginning 5 hours before the start of a peak demand event that occurs in the morning, and</t>
  </si>
  <si>
    <t>the sum of the averages of the actual values recorded each hour during the corresponding time ranges in the reference period, excluding the minimum and maximum values for each hour;</t>
  </si>
  <si>
    <t>or</t>
  </si>
  <si>
    <t>the sum of the actual values recorded each hour during the period of 2 consecutive hours beginning 4 hours before the start of a peak demand event occurring in the evening, and</t>
  </si>
  <si>
    <t>except if the energy curtailed exceeds 40 k W h, in which case the temperature adjustment is limited to:</t>
  </si>
  <si>
    <t>2 times the sum of the averages of the actual values recorded each hour during the periods of 3 consecutive hours beginning 5 hours before all the corresponding time ranges in the reference period if the peak demand event occurs in the morning, excluding the minimum and maximum values for each hour;</t>
  </si>
  <si>
    <t>2 times the sum of the averages of the actual values recorded each hour during the periods of 2 consecutive hours beginning 4 hours before the start of all the corresponding time ranges in the reference period if the peak demand event occurs in the evening, excluding the minimum and maximum values for each hour.</t>
  </si>
  <si>
    <t>This value is prorated according to the number of hours included in the peak demand event.</t>
  </si>
  <si>
    <t>reference period: Depending on whether the peak demand event occurs on a weekday or weekend, the period corresponding to the peak hours of the 5 weekdays or 5 weekend days preceding the day of the peak demand event and during which there was no such event.</t>
  </si>
  <si>
    <t xml:space="preserve"> ┌──────────────────────────────────────────┐</t>
  </si>
  <si>
    <t xml:space="preserve"> │ Start: Peak Demand Event Identified      │</t>
  </si>
  <si>
    <t xml:space="preserve"> └───────────────────────────┬──────────────┘</t>
  </si>
  <si>
    <t xml:space="preserve">                             ▼</t>
  </si>
  <si>
    <t xml:space="preserve">               ┌────────────────────────────┐</t>
  </si>
  <si>
    <t xml:space="preserve">               └──────────────┬─────────────┘</t>
  </si>
  <si>
    <t xml:space="preserve">                              ▼</t>
  </si>
  <si>
    <t xml:space="preserve">           ┌────────────────────────────────────┐</t>
  </si>
  <si>
    <t xml:space="preserve">           └──────────────────┬─────────────────┘</t>
  </si>
  <si>
    <t xml:space="preserve">     ┌──────────────────────────────────────────────┐</t>
  </si>
  <si>
    <t xml:space="preserve">     │ Compute hourly averages for each peak hour    │</t>
  </si>
  <si>
    <t xml:space="preserve">     │ - Collect actual values for each hour         │</t>
  </si>
  <si>
    <t xml:space="preserve">     │ - Remove min &amp; max                            │</t>
  </si>
  <si>
    <t xml:space="preserve">     │ - Average remaining values                    │</t>
  </si>
  <si>
    <t xml:space="preserve">     └──────────────────┬───────────────────────────┘</t>
  </si>
  <si>
    <t xml:space="preserve">                        ▼</t>
  </si>
  <si>
    <t xml:space="preserve">           ┌──────────────────────────────┐</t>
  </si>
  <si>
    <t xml:space="preserve">           │ Is preliminary curtailed &gt;40 │</t>
  </si>
  <si>
    <t xml:space="preserve">                          │Yes</t>
  </si>
  <si>
    <t xml:space="preserve">                          ▼</t>
  </si>
  <si>
    <t xml:space="preserve">           │ Output final curtailed value │</t>
  </si>
  <si>
    <t xml:space="preserve">           │ (used for winter credit)     │</t>
  </si>
  <si>
    <t xml:space="preserve">           └──────────────────────────────┘</t>
  </si>
  <si>
    <t xml:space="preserve">               │ Determine event type       │</t>
  </si>
  <si>
    <t xml:space="preserve">               │ Morning (3h window) or     │</t>
  </si>
  <si>
    <t xml:space="preserve">               │ Evening (2h window)        │</t>
  </si>
  <si>
    <t xml:space="preserve">           │ Build reference period dataset     │</t>
  </si>
  <si>
    <t xml:space="preserve">           │ (5 weekdays or 5 weekend days)     │</t>
  </si>
  <si>
    <t xml:space="preserve">     ┌───────────────────────────────────────────────┐</t>
  </si>
  <si>
    <t xml:space="preserve">     └──────────────────┬────────────────────────────┘</t>
  </si>
  <si>
    <t xml:space="preserve">     │ Compute PRELIMINARY temperature adjustment   │</t>
  </si>
  <si>
    <t xml:space="preserve">     │ (based on actual pre-event window minus      │</t>
  </si>
  <si>
    <t xml:space="preserve">     │ reference-period averages for same window)   │</t>
  </si>
  <si>
    <t xml:space="preserve">     │ Compute PRELIMINARY reference energy         │</t>
  </si>
  <si>
    <t xml:space="preserve">     │ = sum(hourly averages) + preliminary TA      │</t>
  </si>
  <si>
    <t xml:space="preserve">     │ Compute PRELIMINARY energy curtailed         │</t>
  </si>
  <si>
    <t xml:space="preserve">     │ = max(0, preliminary reference - actual)     │</t>
  </si>
  <si>
    <t xml:space="preserve">           └──────────────┬───────────────┘</t>
  </si>
  <si>
    <t xml:space="preserve">     │ Compute CAPPED temperature adjustment        │</t>
  </si>
  <si>
    <t xml:space="preserve">     │ - Morning: 2 × sum(3h reference averages)    │</t>
  </si>
  <si>
    <t xml:space="preserve">     │ - Evening: 2 × sum(2h reference averages)    │</t>
  </si>
  <si>
    <t xml:space="preserve">     │ - Prorate by number of peak hours            │</t>
  </si>
  <si>
    <t xml:space="preserve">     │ Compute FINAL reference energy               │</t>
  </si>
  <si>
    <t xml:space="preserve">     │ = sum(hourly averages) + capped TA           │</t>
  </si>
  <si>
    <t xml:space="preserve">     │ Compute FINAL energy curtailed               │</t>
  </si>
  <si>
    <t xml:space="preserve">     │ = max(0, final reference - actual)           │</t>
  </si>
  <si>
    <t>Net Credit</t>
  </si>
  <si>
    <t>Is it worth it???</t>
  </si>
  <si>
    <t>Definitions - April 2025 Tariffs published by Hydro Quebec</t>
  </si>
  <si>
    <t>Event No.</t>
  </si>
  <si>
    <t>Validate</t>
  </si>
  <si>
    <t>TA-M1</t>
  </si>
  <si>
    <t>TA-M2</t>
  </si>
  <si>
    <t>Ref-M1</t>
  </si>
  <si>
    <t>Ref-M2</t>
  </si>
  <si>
    <t>EC-M1</t>
  </si>
  <si>
    <t>EC-M2</t>
  </si>
  <si>
    <t>Credit-M1</t>
  </si>
  <si>
    <t>Credit-M2</t>
  </si>
  <si>
    <t>HQ Total</t>
  </si>
  <si>
    <t>Calculated Total</t>
  </si>
  <si>
    <t>Reference energy</t>
  </si>
  <si>
    <t>Actual consumption</t>
  </si>
  <si>
    <t>Energy curtailed</t>
  </si>
  <si>
    <t>To load a particular event into the simulator, simply select any cell in that event row and click this button:</t>
  </si>
  <si>
    <t>#13</t>
  </si>
  <si>
    <t>#14</t>
  </si>
  <si>
    <t>#15</t>
  </si>
  <si>
    <t>#16</t>
  </si>
  <si>
    <t>#17</t>
  </si>
  <si>
    <t>#18</t>
  </si>
  <si>
    <t>Instructions</t>
  </si>
  <si>
    <t>This workbook has two purposes.</t>
  </si>
  <si>
    <t>1. It can be used to simulate the anticipated Hydro Quebec Winter Credit</t>
  </si>
  <si>
    <t>2. It can validate existing credits against your actual historical usage.</t>
  </si>
  <si>
    <t>In general, all cells are protected, except those in light blue.</t>
  </si>
  <si>
    <t>Light blue cells are for you to populate with your data.</t>
  </si>
  <si>
    <t>To use the simulator, switch to the simulator tab and enter missing values in blue</t>
  </si>
  <si>
    <t>The simulator will calculate the optimal critical anchor and optionally the optimal critical peak value, in kWh.</t>
  </si>
  <si>
    <t>1. Enter all you actual events to date in the Events tab.</t>
  </si>
  <si>
    <t>You can try copying directly from HQ web portal, WCO credit detail, into a separate worksheet and clean up the data first.</t>
  </si>
  <si>
    <t>2. Enter your historical data usage.</t>
  </si>
  <si>
    <t>SELECT</t>
  </si>
  <si>
    <t>strftime('%Y-%m-%d', S.start_ts, 'unixepoch','localtime') AS date</t>
  </si>
  <si>
    <t>,sum(CASE WHEN strftime('%H', S.start_ts, 'unixepoch','localtime') = '00' THEN S.state END) AS '00'</t>
  </si>
  <si>
    <t>,sum(CASE WHEN strftime('%H', S.start_ts, 'unixepoch','localtime') = '01' THEN S.state END) AS '01'</t>
  </si>
  <si>
    <t>,sum(CASE WHEN strftime('%H', S.start_ts, 'unixepoch','localtime') = '02' THEN S.state END) AS '02'</t>
  </si>
  <si>
    <t>,sum(CASE WHEN strftime('%H', S.start_ts, 'unixepoch','localtime') = '03' THEN S.state END) AS '03'</t>
  </si>
  <si>
    <t>,sum(CASE WHEN strftime('%H', S.start_ts, 'unixepoch','localtime') = '04' THEN S.state END) AS '04'</t>
  </si>
  <si>
    <t>,sum(CASE WHEN strftime('%H', S.start_ts, 'unixepoch','localtime') = '05' THEN S.state END) AS '05'</t>
  </si>
  <si>
    <t>,sum(CASE WHEN strftime('%H', S.start_ts, 'unixepoch','localtime') = '06' THEN S.state END) AS '06'</t>
  </si>
  <si>
    <t>,sum(CASE WHEN strftime('%H', S.start_ts, 'unixepoch','localtime') = '07' THEN S.state END) AS '07'</t>
  </si>
  <si>
    <t>,sum(CASE WHEN strftime('%H', S.start_ts, 'unixepoch','localtime') = '08' THEN S.state END) AS '08'</t>
  </si>
  <si>
    <t>,sum(CASE WHEN strftime('%H', S.start_ts, 'unixepoch','localtime') = '09' THEN S.state END) AS '09'</t>
  </si>
  <si>
    <t>,sum(CASE WHEN strftime('%H', S.start_ts, 'unixepoch','localtime') = '10' THEN S.state END) AS '10'</t>
  </si>
  <si>
    <t>,sum(CASE WHEN strftime('%H', S.start_ts, 'unixepoch','localtime') = '11' THEN S.state END) AS '11'</t>
  </si>
  <si>
    <t>,sum(CASE WHEN strftime('%H', S.start_ts, 'unixepoch','localtime') = '12' THEN S.state END) AS '12'</t>
  </si>
  <si>
    <t>,sum(CASE WHEN strftime('%H', S.start_ts, 'unixepoch','localtime') = '13' THEN S.state END) AS '13'</t>
  </si>
  <si>
    <t>,sum(CASE WHEN strftime('%H', S.start_ts, 'unixepoch','localtime') = '14' THEN S.state END) AS '14'</t>
  </si>
  <si>
    <t>,sum(CASE WHEN strftime('%H', S.start_ts, 'unixepoch','localtime') = '15' THEN S.state END) AS '15'</t>
  </si>
  <si>
    <t>,sum(CASE WHEN strftime('%H', S.start_ts, 'unixepoch','localtime') = '16' THEN S.state END) AS '16'</t>
  </si>
  <si>
    <t>,sum(CASE WHEN strftime('%H', S.start_ts, 'unixepoch','localtime') = '17' THEN S.state END) AS '17'</t>
  </si>
  <si>
    <t>,sum(CASE WHEN strftime('%H', S.start_ts, 'unixepoch','localtime') = '18' THEN S.state END) AS '18'</t>
  </si>
  <si>
    <t>,sum(CASE WHEN strftime('%H', S.start_ts, 'unixepoch','localtime') = '19' THEN S.state END) AS '19'</t>
  </si>
  <si>
    <t>,sum(CASE WHEN strftime('%H', S.start_ts, 'unixepoch','localtime') = '20' THEN S.state END) AS '20'</t>
  </si>
  <si>
    <t>,sum(CASE WHEN strftime('%H', S.start_ts, 'unixepoch','localtime') = '21' THEN S.state END) AS '21'</t>
  </si>
  <si>
    <t>,sum(CASE WHEN strftime('%H', S.start_ts, 'unixepoch','localtime') = '22' THEN S.state END) AS '22'</t>
  </si>
  <si>
    <t>,sum(CASE WHEN strftime('%H', S.start_ts, 'unixepoch','localtime') = '23' THEN S.state END) AS '23'</t>
  </si>
  <si>
    <t>FROM STATISTICS AS S</t>
  </si>
  <si>
    <t>INNER JOIN statistics_meta AS M ON S.metadata_id = M.id</t>
  </si>
  <si>
    <t>WHERE</t>
  </si>
  <si>
    <t>M.statistic_id = 'sensor.hydroqc_maison_total_hourly_consumption'</t>
  </si>
  <si>
    <t>AND date &gt; '2025-11-14'</t>
  </si>
  <si>
    <t>GROUP BY date</t>
  </si>
  <si>
    <t>3. Switch to the Events tab</t>
  </si>
  <si>
    <t>Click on the button "Update".</t>
  </si>
  <si>
    <t>You can also load any row into the simulator by using the appropriate button on the Events tab.</t>
  </si>
  <si>
    <t>This workbook has example data in blue cells. Replace it with your data!</t>
  </si>
  <si>
    <t>There is a section where you can copy/paste scenarios for future reference. Blue cells are not protected.</t>
  </si>
  <si>
    <t>To validate your winter credits, you will need to do 3 things:</t>
  </si>
  <si>
    <t>The model needs 24 hourly buckets of kWh usage, starting on Nov 15th, 2025.</t>
  </si>
  <si>
    <t>Simply run the query in HA GUI, export the results as CSV, then copy the data to the Data tab.</t>
  </si>
  <si>
    <t>All your data will automatically be calculated and compared with Hydro Quebec existing credits you entered earlier</t>
  </si>
  <si>
    <t>ORDER BY date ASC</t>
  </si>
  <si>
    <t>Test No.</t>
  </si>
  <si>
    <t>Notes</t>
  </si>
  <si>
    <t>I have included a SQLite query that can be used with Home Assistant, SQLite Web add on. See SQLite tab.</t>
  </si>
  <si>
    <t>Over credit and under credit will be displayed in column W, named "Diff".</t>
  </si>
  <si>
    <t>Don’t' be surprised by the variances greater +/- 0.01$, Hydro Quebec has made many, many errors in their credit calculations to date</t>
  </si>
  <si>
    <t>NOTES and DEFINITIONS</t>
  </si>
  <si>
    <t>Columns C to H should come from your Hydro Quebec Customer Portal, Winter Credit details</t>
  </si>
  <si>
    <t>https://session.hydroquebec.com/client/group/suivi-performance</t>
  </si>
  <si>
    <t>Columns J to W are calculated from your HQ data.</t>
  </si>
  <si>
    <t>Be sure to populate the Data tab first, using the SQLite query supplied.</t>
  </si>
  <si>
    <t>Column Titles and Descriptions</t>
  </si>
  <si>
    <t>Seqential number of the critical event</t>
  </si>
  <si>
    <t>For future use.</t>
  </si>
  <si>
    <t>Date of the critical event.</t>
  </si>
  <si>
    <t>Period of day for the event (AM/PM).</t>
  </si>
  <si>
    <t>HQ calculated actual critical peak energy consumed (kWh)</t>
  </si>
  <si>
    <t>HQ calculated Reference Energy less Actual (kWh)</t>
  </si>
  <si>
    <t>HQ calculated Reference Energy (Anchor Actual less Anchor Average plus Temperature Adjustment) kWh</t>
  </si>
  <si>
    <t>HQ calculated credit ($)</t>
  </si>
  <si>
    <t>Anchor average kWh based on the Reference Period (5 previous similar non-critical days and periods). Hourly data has MIN and MAX removed.</t>
  </si>
  <si>
    <t>Peak average kWh based on the Reference Period (5 previous similar non-critical days and periods). Hourly data has MIN and MAX removed.</t>
  </si>
  <si>
    <t>Actual kWh consumed during the critical anchor period.</t>
  </si>
  <si>
    <t>Peak kWh consumed during the critical anchor period. This should match column F.</t>
  </si>
  <si>
    <t>Temperature Adjustment using Method 1 (used if curtailed energy is 40kWh or less). Temperature adjustment equals Anchor Actual less Anchor Average. Cannot be less than zero.</t>
  </si>
  <si>
    <r>
      <t xml:space="preserve">Temperature Adjustment using Method 2 (used if curtailed energy </t>
    </r>
    <r>
      <rPr>
        <b/>
        <sz val="11"/>
        <color rgb="FFC00000"/>
        <rFont val="Calibri"/>
        <family val="2"/>
        <scheme val="minor"/>
      </rPr>
      <t>is greater than 40kWh</t>
    </r>
    <r>
      <rPr>
        <sz val="11"/>
        <color theme="1"/>
        <rFont val="Calibri"/>
        <family val="2"/>
        <scheme val="minor"/>
      </rPr>
      <t>). Temperature adjustment is limited to 2 times the Anchor Average. Anchor Actual is ignored.</t>
    </r>
  </si>
  <si>
    <t>Energy Curtailed with Method 1. Energy Curtailed equals Reference Energy using Method 1 less Peak Actual.</t>
  </si>
  <si>
    <t>Energy Curtailed with Method 2. Energy Curtailed equals Reference Energy using Method 2 less Peak Actual.</t>
  </si>
  <si>
    <t>Credit in $ if Energy Curtailed Method 1 results in 40 kWh or less, otherwise 0$.</t>
  </si>
  <si>
    <r>
      <t>Credit in $ if Energy Curtailed Method 1 results</t>
    </r>
    <r>
      <rPr>
        <b/>
        <sz val="11"/>
        <color rgb="FFC00000"/>
        <rFont val="Calibri"/>
        <family val="2"/>
        <scheme val="minor"/>
      </rPr>
      <t xml:space="preserve"> in greater than 40 kWh</t>
    </r>
    <r>
      <rPr>
        <sz val="11"/>
        <color theme="1"/>
        <rFont val="Calibri"/>
        <family val="2"/>
        <scheme val="minor"/>
      </rPr>
      <t>, otherwise 0$.</t>
    </r>
  </si>
  <si>
    <t>Actual calculated credit. This should equal column H, but may not, especially for Method 2.</t>
  </si>
  <si>
    <t>Difference between the true calculated credit and HQ''s published credit.</t>
  </si>
  <si>
    <t>https://www.hydroquebec.com/data/documents-donnees/pdf/electricity-rates.pdf?v=20250401</t>
  </si>
  <si>
    <t>Extracted from English Version:</t>
  </si>
  <si>
    <t>French Version:</t>
  </si>
  <si>
    <t>https://www.hydroquebec.com/data/documents-donnees/pdf/tarifs-electricite.pdf?v=HT-2025-v3</t>
  </si>
  <si>
    <r>
      <t xml:space="preserve">Reference Energy using Method 1. Reference Energy equals Anchor Actual less Anchor Average plus </t>
    </r>
    <r>
      <rPr>
        <b/>
        <i/>
        <sz val="11"/>
        <color rgb="FFC00000"/>
        <rFont val="Calibri"/>
        <family val="2"/>
        <scheme val="minor"/>
      </rPr>
      <t>prorated</t>
    </r>
    <r>
      <rPr>
        <sz val="11"/>
        <color theme="1"/>
        <rFont val="Calibri"/>
        <family val="2"/>
        <scheme val="minor"/>
      </rPr>
      <t xml:space="preserve"> Temperature Adjustment using Method 1.</t>
    </r>
  </si>
  <si>
    <r>
      <t xml:space="preserve">Reference Energy using Method 2. Reference Energy equals Anchor Actual less Anchor Average plus </t>
    </r>
    <r>
      <rPr>
        <b/>
        <i/>
        <sz val="11"/>
        <color rgb="FFC00000"/>
        <rFont val="Calibri"/>
        <family val="2"/>
        <scheme val="minor"/>
      </rPr>
      <t>prorated</t>
    </r>
    <r>
      <rPr>
        <sz val="11"/>
        <color theme="1"/>
        <rFont val="Calibri"/>
        <family val="2"/>
        <scheme val="minor"/>
      </rPr>
      <t xml:space="preserve"> Temperature Adjustment using Method 2.</t>
    </r>
  </si>
  <si>
    <t>NOTE!</t>
  </si>
  <si>
    <t>Temperature Adjustment values are prorated differently for AM and PM critical events.</t>
  </si>
  <si>
    <t>An PM event has a 2 hour anchor period and a 4 hour peak period, thus the terperature adjustment is prorated by 2 (TA * 2).</t>
  </si>
  <si>
    <t>An AM event has a 3 hour anchor period and a 4 hour peak period, thus the terperature adjustment is prorated by 4/3 (TA / 3 * 4).</t>
  </si>
  <si>
    <t>' ------------------------------------------------------------------------------</t>
  </si>
  <si>
    <t>' Written by: Tony ILLIG</t>
  </si>
  <si>
    <t>' Version: February 2, 2026</t>
  </si>
  <si>
    <t>'</t>
  </si>
  <si>
    <t>' This code is released into the public domain for non-commercial use.</t>
  </si>
  <si>
    <t>' Permission is granted to copy, modify, and redistribute this code, provided</t>
  </si>
  <si>
    <t>' that proper credit is given to the original author in any derivative works</t>
  </si>
  <si>
    <t>' or redistributed versions.</t>
  </si>
  <si>
    <t>' This code is provided "as is" without warranty of any kind, express or</t>
  </si>
  <si>
    <t>' implied. The author shall not be held liable for any damages, losses, or</t>
  </si>
  <si>
    <t>' other issues arising from the use, misuse, or inability to use this code.</t>
  </si>
  <si>
    <t>' Commercial use requires prior written permission from the author.</t>
  </si>
  <si>
    <t>The workbook and its worksheets are protected, but not password enabled.</t>
  </si>
  <si>
    <t>Read the License tab if you wish to make modifications for you own use.</t>
  </si>
  <si>
    <t>Please share any discovered bugs with me on Discord</t>
  </si>
  <si>
    <t>A word from the author:</t>
  </si>
  <si>
    <r>
      <t xml:space="preserve">Under no circumstances does the author condone or encourage the abuse of the Hydro Quebec Winter Credit Option </t>
    </r>
    <r>
      <rPr>
        <b/>
        <i/>
        <sz val="11"/>
        <color theme="1"/>
        <rFont val="Calibri"/>
        <family val="2"/>
        <scheme val="minor"/>
      </rPr>
      <t>by wasteful energy use</t>
    </r>
    <r>
      <rPr>
        <i/>
        <sz val="11"/>
        <color theme="1"/>
        <rFont val="Calibri"/>
        <family val="2"/>
        <scheme val="minor"/>
      </rPr>
      <t xml:space="preserve"> for the sole purpose of deriving an electric utility credit.</t>
    </r>
  </si>
  <si>
    <r>
      <rPr>
        <b/>
        <i/>
        <sz val="11"/>
        <color theme="1"/>
        <rFont val="Calibri"/>
        <family val="2"/>
        <scheme val="minor"/>
      </rPr>
      <t>NOTE</t>
    </r>
    <r>
      <rPr>
        <i/>
        <sz val="11"/>
        <color theme="1"/>
        <rFont val="Calibri"/>
        <family val="2"/>
        <scheme val="minor"/>
      </rPr>
      <t>: The section below is unprotected (blue cells), you may "save" your scenarios here.</t>
    </r>
  </si>
  <si>
    <t>Optionally enter a note, like date/time</t>
  </si>
  <si>
    <r>
      <t xml:space="preserve">To use, update only the </t>
    </r>
    <r>
      <rPr>
        <b/>
        <sz val="12"/>
        <color theme="4" tint="-0.249977111117893"/>
        <rFont val="Calibri"/>
        <family val="2"/>
        <scheme val="minor"/>
      </rPr>
      <t>blue</t>
    </r>
    <r>
      <rPr>
        <b/>
        <sz val="11"/>
        <color theme="1"/>
        <rFont val="Calibri"/>
        <family val="2"/>
        <scheme val="minor"/>
      </rPr>
      <t xml:space="preserve"> boxes, cells A4 to A12</t>
    </r>
  </si>
  <si>
    <t>Test n°</t>
  </si>
  <si>
    <t>Remarques</t>
  </si>
  <si>
    <t>Moyenne période d'ancrage de référence</t>
  </si>
  <si>
    <t>Moyenne période de pointe de référence</t>
  </si>
  <si>
    <t>$/kWh énergie effacée</t>
  </si>
  <si>
    <t>Simulation AM ou PM</t>
  </si>
  <si>
    <t>Period d'anchorage estimée</t>
  </si>
  <si>
    <t>Period d'anchorage réele</t>
  </si>
  <si>
    <t>Period de pointe estimée</t>
  </si>
  <si>
    <t>Period de pointe réele</t>
  </si>
  <si>
    <t>Une note falcultatif, telle que la date/l'heure.</t>
  </si>
  <si>
    <t>Saisissez la valeur issue de la requête SQL.</t>
  </si>
  <si>
    <t>Crédit HQ pour chaque kWh éffacée.</t>
  </si>
  <si>
    <t>Saisissez AM ou PM, ou utilisez le menu déroulant.</t>
  </si>
  <si>
    <t>Si vous le souhaitez, vous pouvez saisir votre propre estimation d'anchrage. Si vous laissez ce champ vide, le simulateur utilisera l'objectif de référence calculé.</t>
  </si>
  <si>
    <t>Ancrage réel selon HQ. Si vous laissez ce champ vide, le simulateur utilisera l'estimation.</t>
  </si>
  <si>
    <t>Saisissez l'estimation de la consommation maximale critique ou utilisez la valeur de la requête SQL pour la consommation maximale critique moyenne.</t>
  </si>
  <si>
    <t>Saisissez la consommation de période de pointe critique selon HQ. Si vous laissez ce champ vide, le simulateur utilisera l'estimation de la consommation maximale.</t>
  </si>
  <si>
    <t>Ne modifiez pas cette valeur, il s'agit de votre objectif de période d'anchrage!</t>
  </si>
  <si>
    <t>FRANÇAIS</t>
  </si>
  <si>
    <t>Mode d'utilisation</t>
  </si>
  <si>
    <t xml:space="preserve">Pour utiliser le simulateur, passez à l'onglet « Simulateur » et saisissez les valeurs manquantes en bleu.    </t>
  </si>
  <si>
    <t xml:space="preserve">Le simulateur calculera l'ancrage critique optimal et, éventuellement, la valeur de pointe critique optimale, en kWh.    </t>
  </si>
  <si>
    <t xml:space="preserve">Une section vous permet de copier/coller des scénarios pour référence future. Les cellules bleues ne sont pas protégées.    </t>
  </si>
  <si>
    <t xml:space="preserve">    </t>
  </si>
  <si>
    <t>Pour valider vos crédits hivernaux, vous devrez effectuer 3 opérations :</t>
  </si>
  <si>
    <t>1. Saisissez tous vos événements réels à ce jour dans l'onglet « Events ».</t>
  </si>
  <si>
    <t>Vous pouvez essayer de copier directement depuis le portail Web du Hydro Québec, les détails de crédit, dans une feuille de calcul séparée et nettoyer les données au préalable.</t>
  </si>
  <si>
    <t>2. Saisissez votre historique de consommation.</t>
  </si>
  <si>
    <t>Le modèle nécessite 24 tranches horaires de consommation en kWh, à partir du 15 novembre 2025.</t>
  </si>
  <si>
    <t>J'ai inclus une requête SQLite qui peut être utilisée avec Home Assistant, l'extension « SQLite Web ». Voir l'onglet SQLite.</t>
  </si>
  <si>
    <t>Il suffit d'exécuter la requête dans l'interface graphique HA, d'exporter les résultats au format CSV, puis de copier les données dans l'onglet « Data »</t>
  </si>
  <si>
    <t>3. Passez à l'onglet « Events ».</t>
  </si>
  <si>
    <t>Cliquez sur le bouton « Update ».</t>
  </si>
  <si>
    <t>Toutes vos données seront automatiquement calculées et comparées aux crédits Hydro Québec existants que vous avez saisis précédemment.</t>
  </si>
  <si>
    <t>Les crédits excédentaires et insuffisants seront affichés dans la colonne W, intitulée « Diff ».</t>
  </si>
  <si>
    <t>Ne soyez pas surpris par les écarts supérieurs à +/- 0,01 $, Hydro Québec a commis de nombreuses erreurs dans ses calculs de crédits à ce jour.</t>
  </si>
  <si>
    <t>Vous pouvez également charger n'importe quelle ligne dans le simulateur en utilisant le bouton approprié « Load row into Simulator » dans l'onglet Événements.</t>
  </si>
  <si>
    <t>Remarque spéciale à l'attention des développeurs et des passionnés :</t>
  </si>
  <si>
    <t xml:space="preserve">Le classeur et ses feuilles de calcul sont protégés, mais ne sont pas protégés par mot de passe.    </t>
  </si>
  <si>
    <t xml:space="preserve">Lisez l'onglet Licence si vous souhaitez apporter des modifications pour votre usage personnel.    </t>
  </si>
  <si>
    <t xml:space="preserve">Veuillez me signaler tout bug découvert sur Discord    </t>
  </si>
  <si>
    <t xml:space="preserve">Un mot de l'auteur :    </t>
  </si>
  <si>
    <t>L'auteur ne tolère ni n'encourage en aucun cas l'abus de l'option de crédit hivernal d'Hydro-Québec par une utilisation gaspilleuse de l'énergie dans le seul but d'obtenir un crédit d'électricité.</t>
  </si>
  <si>
    <t>Titres et descriptions des colonnes</t>
  </si>
  <si>
    <t>No. - Numéro séquentiel de l'événement critique.</t>
  </si>
  <si>
    <t>Validation - Pour utilisation future.</t>
  </si>
  <si>
    <t>Dates - Date de l'événement critique.</t>
  </si>
  <si>
    <t>Heures - Période de la journée pour l'événement (AM/PM).</t>
  </si>
  <si>
    <t>Énergie de référence - Énergie de référence calculée par HQ (référence réelle moins moyenne de référence plus ajustement de température) kWh.</t>
  </si>
  <si>
    <t>Énergie réelle - Énergie de pointe critique réelle consommée selon HQ (kWh).</t>
  </si>
  <si>
    <t>Énergie effacée - Énergie de référence calculée selon HQ (kWh).</t>
  </si>
  <si>
    <t>Crédit - Crédit calculé par le siège social ($).</t>
  </si>
  <si>
    <t>Moyenne des kWh de référence basée sur la période de référence (5 jours et périodes similaires non critiques précédents). Les données horaires ne tiennent pas compte des valeurs MIN et MAX.</t>
  </si>
  <si>
    <t>Moyenne des kWh de pointe basée sur la période de référence (5 jours et périodes similaires non critiques précédents). Les données horaires ne tiennent pas compte des valeurs MIN et MAX.</t>
  </si>
  <si>
    <t>Consommation réelle en kWh pendant la période de référence critique.</t>
  </si>
  <si>
    <t>Consommation de pointe en kWh pendant la période de référence critique. Cette valeur doit correspondre à la colonne F.</t>
  </si>
  <si>
    <t>Ajustement de température selon la méthode 1 (utilisée si l'énergie réduite est inférieure ou égale à 40 kWh). L'ajustement de température est égal à la valeur réelle de référence moins la moyenne de référence. Il ne peut être inférieur à zéro.</t>
  </si>
  <si>
    <t>Ajustement de température selon la méthode 2 (utilisée si l'énergie réduite est supérieure à 40 kWh). L'ajustement de température est limité à deux fois la moyenne de référence. La valeur réelle de référence est ignorée.</t>
  </si>
  <si>
    <t>Énergie de référence selon la méthode 1. L'énergie de référence est égale à la valeur réelle de référence moins la moyenne de référence, plus l'ajustement de température au prorata selon la méthode 1.</t>
  </si>
  <si>
    <t>Énergie de référence selon la méthode 2. L'énergie de référence est égale à la valeur réelle de référence moins la moyenne de référence, plus l'ajustement de température au prorata selon la méthode 2.</t>
  </si>
  <si>
    <t>Énergie réduite selon la méthode 1. L'énergie réduite est égale à l'énergie de référence selon la méthode 1 moins la valeur maximale réelle.</t>
  </si>
  <si>
    <t>Énergie réduite avec la méthode 2. L'énergie réduite est égale à l'énergie de référence calculée à l'aide de la méthode 2, moins la consommation maximale réelle.</t>
  </si>
  <si>
    <t>Crédit en dollars si l'énergie réduite selon la méthode 1 est inférieure ou égale à 40 kWh, sinon 0 $.</t>
  </si>
  <si>
    <t>Crédit en dollars si l'énergie réduite selon la méthode 1 est supérieure à 40 kWh, sinon 0 $.</t>
  </si>
  <si>
    <t>Crédit réel calculé. Il devrait être égal à la colonne H, mais ce n'est pas toujours le cas, en particulier pour la méthode 2.</t>
  </si>
  <si>
    <t>Différence entre le crédit réel calculé et le crédit publié par le siège social.</t>
  </si>
  <si>
    <t>Les valeurs d'ajustement de température sont calculées différemment pour les événements critiques AM et PM.</t>
  </si>
  <si>
    <t>Un événement AM a une période de référence de 3 heures et une période de pointe de 4 heures, donc l'ajustement de température est calculé au prorata de 4/3 (TA / 3 * 4).</t>
  </si>
  <si>
    <t>Un événement PM a une période de référence de 2 heures et une période de pointe de 4 heures, donc l'ajustement de température est calculé au prorata de 2 (TA * 2).</t>
  </si>
  <si>
    <t>Les colonnes C à H doivent provenir de votre portail client Hydro-Québec, détails du crédit hivernal.</t>
  </si>
  <si>
    <t>Les colonnes J à W sont calculées à partir de vos données HQ.</t>
  </si>
  <si>
    <t>Veillez à remplir d'abord l'onglet Données à l'aide de la requête SQLite fournie.</t>
  </si>
  <si>
    <t>NOTES et DÉFINITIONS</t>
  </si>
  <si>
    <t>Special note for developers and enthusiasts:</t>
  </si>
  <si>
    <t>Alternatively, you can simply enter the DATE, AM/PM and the CREDIT AMOUNT in dollars. These are the minimum fields necessary.</t>
  </si>
  <si>
    <t>Vous pouvez également saisir simplement la DATE, AM/PM et le MONTANT DU CRÉDIT en dollars. Ce sont les champs obligatoires.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</si>
</sst>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8" formatCode="&quot;$&quot;#,##0.00;[Red]\-&quot;$&quot;#,##0.00"/>
    <numFmt numFmtId="44" formatCode="_-&quot;$&quot;* #,##0.00_-;\-&quot;$&quot;* #,##0.00_-;_-&quot;$&quot;* &quot;-&quot;??_-;_-@_-"/>
    <numFmt numFmtId="43" formatCode="_-* #,##0.00_-;\-* #,##0.00_-;_-* &quot;-&quot;??_-;_-@_-"/>
    <numFmt numFmtId="164" formatCode="_-&quot;$&quot;* #,##0.0000_-;\-&quot;$&quot;* #,##0.0000_-;_-&quot;$&quot;* &quot;-&quot;??_-;_-@_-"/>
    <numFmt numFmtId="165" formatCode="_-&quot;$&quot;* #,##0.00000_-;\-&quot;$&quot;* #,##0.00000_-;_-&quot;$&quot;* &quot;-&quot;??_-;_-@_-"/>
  </numFmts>
  <fonts count="22"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2"/>
      <color theme="1"/>
      <name val="Calibri"/>
      <family val="2"/>
      <scheme val="minor"/>
    </font>
    <font>
      <i/>
      <sz val="11"/>
      <color theme="1"/>
      <name val="Calibri"/>
      <family val="2"/>
      <scheme val="minor"/>
    </font>
    <font>
      <b/>
      <sz val="11"/>
      <color rgb="FFFF0000"/>
      <name val="Calibri"/>
      <family val="2"/>
      <scheme val="minor"/>
    </font>
    <font>
      <b/>
      <sz val="12"/>
      <color rgb="FFC00000"/>
      <name val="Calibri"/>
      <family val="2"/>
      <scheme val="minor"/>
    </font>
    <font>
      <b/>
      <sz val="12"/>
      <color theme="4" tint="-0.249977111117893"/>
      <name val="Calibri"/>
      <family val="2"/>
      <scheme val="minor"/>
    </font>
    <font>
      <b/>
      <sz val="14"/>
      <color rgb="FFFF0000"/>
      <name val="Calibri"/>
      <family val="2"/>
      <scheme val="minor"/>
    </font>
    <font>
      <sz val="11"/>
      <color theme="1"/>
      <name val="Courier New"/>
      <family val="3"/>
    </font>
    <font>
      <b/>
      <sz val="14"/>
      <name val="Calibri"/>
      <family val="2"/>
      <scheme val="minor"/>
    </font>
    <font>
      <sz val="11"/>
      <color rgb="FF000000"/>
      <name val="Calibri"/>
      <family val="2"/>
    </font>
    <font>
      <b/>
      <sz val="14"/>
      <color theme="1"/>
      <name val="Calibri"/>
      <family val="2"/>
      <scheme val="minor"/>
    </font>
    <font>
      <i/>
      <sz val="11"/>
      <name val="Calibri"/>
      <family val="2"/>
      <scheme val="minor"/>
    </font>
    <font>
      <u/>
      <sz val="11"/>
      <color theme="10"/>
      <name val="Calibri"/>
      <family val="2"/>
      <scheme val="minor"/>
    </font>
    <font>
      <b/>
      <sz val="11"/>
      <color rgb="FFC00000"/>
      <name val="Calibri"/>
      <family val="2"/>
      <scheme val="minor"/>
    </font>
    <font>
      <sz val="9"/>
      <color indexed="81"/>
      <name val="Tahoma"/>
      <family val="2"/>
    </font>
    <font>
      <b/>
      <sz val="9"/>
      <color indexed="81"/>
      <name val="Tahoma"/>
      <family val="2"/>
    </font>
    <font>
      <sz val="12"/>
      <color theme="1"/>
      <name val="Calibri"/>
      <family val="2"/>
      <scheme val="minor"/>
    </font>
    <font>
      <b/>
      <i/>
      <sz val="11"/>
      <color rgb="FFC00000"/>
      <name val="Calibri"/>
      <family val="2"/>
      <scheme val="minor"/>
    </font>
    <font>
      <b/>
      <i/>
      <sz val="11"/>
      <color theme="1"/>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tint="-0.249977111117893"/>
        <bgColor indexed="64"/>
      </patternFill>
    </fill>
  </fills>
  <borders count="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6">
    <xf numFmtId="0" fontId="0" fillId="0" borderId="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5" fillId="0" borderId="0" applyNumberFormat="0" applyFill="0" applyBorder="0" applyAlignment="0" applyProtection="0"/>
  </cellStyleXfs>
  <cellXfs count="70">
    <xf numFmtId="0" fontId="0" fillId="0" borderId="0" xfId="0"/>
    <xf numFmtId="0" fontId="4" fillId="0" borderId="0" xfId="0" applyFont="1"/>
    <xf numFmtId="0" fontId="5" fillId="0" borderId="0" xfId="0" applyFont="1"/>
    <xf numFmtId="43" fontId="0" fillId="0" borderId="0" xfId="1" applyFont="1"/>
    <xf numFmtId="43" fontId="0" fillId="4" borderId="0" xfId="1" applyFont="1" applyFill="1"/>
    <xf numFmtId="44" fontId="2" fillId="0" borderId="0" xfId="2" applyFont="1"/>
    <xf numFmtId="43" fontId="0" fillId="5" borderId="4" xfId="1" applyFont="1" applyFill="1" applyBorder="1"/>
    <xf numFmtId="43" fontId="0" fillId="6" borderId="4" xfId="1" applyFont="1" applyFill="1" applyBorder="1"/>
    <xf numFmtId="44" fontId="2" fillId="5" borderId="4" xfId="2" applyFont="1" applyFill="1" applyBorder="1"/>
    <xf numFmtId="0" fontId="6" fillId="0" borderId="0" xfId="0" applyFont="1" applyAlignment="1">
      <alignment horizontal="right"/>
    </xf>
    <xf numFmtId="44" fontId="6" fillId="0" borderId="0" xfId="0" applyNumberFormat="1" applyFont="1"/>
    <xf numFmtId="0" fontId="0" fillId="0" borderId="0" xfId="0" applyAlignment="1">
      <alignment horizontal="center"/>
    </xf>
    <xf numFmtId="0" fontId="5" fillId="0" borderId="0" xfId="0" applyFont="1" applyFill="1" applyBorder="1"/>
    <xf numFmtId="0" fontId="3" fillId="3" borderId="4" xfId="0" applyFont="1" applyFill="1" applyBorder="1" applyAlignment="1">
      <alignment horizontal="center"/>
    </xf>
    <xf numFmtId="43" fontId="6" fillId="0" borderId="0" xfId="1" applyFont="1" applyFill="1" applyBorder="1"/>
    <xf numFmtId="43" fontId="6" fillId="3" borderId="1" xfId="1" applyFont="1" applyFill="1" applyBorder="1"/>
    <xf numFmtId="44" fontId="0" fillId="0" borderId="4" xfId="0" applyNumberFormat="1" applyBorder="1" applyAlignment="1"/>
    <xf numFmtId="14" fontId="0" fillId="0" borderId="0" xfId="0" applyNumberFormat="1"/>
    <xf numFmtId="0" fontId="3" fillId="0" borderId="0" xfId="0" applyFont="1"/>
    <xf numFmtId="0" fontId="0" fillId="0" borderId="4" xfId="0" applyBorder="1"/>
    <xf numFmtId="0" fontId="0" fillId="0" borderId="0" xfId="0" applyAlignment="1">
      <alignment horizontal="right"/>
    </xf>
    <xf numFmtId="0" fontId="7" fillId="0" borderId="0" xfId="0" applyFont="1"/>
    <xf numFmtId="43" fontId="0" fillId="0" borderId="4" xfId="0" applyNumberFormat="1" applyFill="1" applyBorder="1"/>
    <xf numFmtId="43" fontId="0" fillId="0" borderId="4" xfId="1" applyFont="1" applyFill="1" applyBorder="1"/>
    <xf numFmtId="44" fontId="0" fillId="0" borderId="0" xfId="0" applyNumberFormat="1" applyBorder="1" applyAlignment="1"/>
    <xf numFmtId="0" fontId="0" fillId="0" borderId="0" xfId="0" applyBorder="1" applyAlignment="1">
      <alignment horizontal="center"/>
    </xf>
    <xf numFmtId="49" fontId="0" fillId="0" borderId="0" xfId="0" applyNumberFormat="1" applyAlignment="1">
      <alignment wrapText="1"/>
    </xf>
    <xf numFmtId="0" fontId="0" fillId="0" borderId="0" xfId="0" applyAlignment="1">
      <alignment vertical="center"/>
    </xf>
    <xf numFmtId="0" fontId="10" fillId="0" borderId="0" xfId="0" applyFont="1" applyAlignment="1">
      <alignment vertical="center"/>
    </xf>
    <xf numFmtId="43" fontId="6" fillId="3" borderId="4" xfId="1" applyFont="1" applyFill="1" applyBorder="1"/>
    <xf numFmtId="44" fontId="9" fillId="3" borderId="4" xfId="0" applyNumberFormat="1" applyFont="1" applyFill="1" applyBorder="1" applyAlignment="1"/>
    <xf numFmtId="44" fontId="11" fillId="3" borderId="4" xfId="0" applyNumberFormat="1" applyFont="1" applyFill="1" applyBorder="1" applyAlignment="1"/>
    <xf numFmtId="49" fontId="4" fillId="0" borderId="0" xfId="0" applyNumberFormat="1" applyFont="1" applyAlignment="1">
      <alignment wrapText="1"/>
    </xf>
    <xf numFmtId="8" fontId="0" fillId="0" borderId="4" xfId="0" applyNumberFormat="1" applyBorder="1"/>
    <xf numFmtId="49" fontId="0" fillId="0" borderId="0" xfId="0" applyNumberFormat="1" applyAlignment="1">
      <alignment horizontal="center" vertical="center" wrapText="1"/>
    </xf>
    <xf numFmtId="43" fontId="0" fillId="2" borderId="1" xfId="1" applyFont="1" applyFill="1" applyBorder="1" applyProtection="1">
      <protection locked="0"/>
    </xf>
    <xf numFmtId="43" fontId="0" fillId="2" borderId="4" xfId="1" applyFont="1" applyFill="1" applyBorder="1" applyProtection="1">
      <protection locked="0"/>
    </xf>
    <xf numFmtId="0" fontId="0" fillId="2" borderId="4" xfId="0" applyFill="1" applyBorder="1" applyAlignment="1" applyProtection="1">
      <alignment horizontal="right"/>
      <protection locked="0"/>
    </xf>
    <xf numFmtId="0" fontId="0" fillId="2" borderId="4" xfId="0" applyFill="1" applyBorder="1" applyProtection="1">
      <protection locked="0"/>
    </xf>
    <xf numFmtId="43" fontId="0" fillId="2" borderId="4" xfId="0" applyNumberFormat="1" applyFill="1" applyBorder="1" applyProtection="1">
      <protection locked="0"/>
    </xf>
    <xf numFmtId="43" fontId="0" fillId="2" borderId="1" xfId="3" applyFont="1" applyFill="1" applyBorder="1" applyProtection="1">
      <protection locked="0"/>
    </xf>
    <xf numFmtId="43" fontId="0" fillId="2" borderId="4" xfId="3" applyFont="1" applyFill="1" applyBorder="1" applyProtection="1">
      <protection locked="0"/>
    </xf>
    <xf numFmtId="164" fontId="0" fillId="2" borderId="4" xfId="2" applyNumberFormat="1" applyFont="1" applyFill="1" applyBorder="1" applyProtection="1">
      <protection locked="0"/>
    </xf>
    <xf numFmtId="14" fontId="0" fillId="2" borderId="4" xfId="0" applyNumberFormat="1" applyFill="1" applyBorder="1" applyProtection="1">
      <protection locked="0"/>
    </xf>
    <xf numFmtId="0" fontId="0" fillId="2" borderId="4" xfId="0" applyFill="1" applyBorder="1" applyAlignment="1" applyProtection="1">
      <alignment horizontal="center"/>
      <protection locked="0"/>
    </xf>
    <xf numFmtId="8" fontId="0" fillId="2" borderId="4" xfId="0" applyNumberFormat="1" applyFill="1" applyBorder="1" applyProtection="1">
      <protection locked="0"/>
    </xf>
    <xf numFmtId="0" fontId="13" fillId="0" borderId="0" xfId="0" applyFont="1"/>
    <xf numFmtId="0" fontId="6" fillId="0" borderId="0" xfId="0" applyFont="1"/>
    <xf numFmtId="43" fontId="0" fillId="0" borderId="4" xfId="1" applyFont="1" applyFill="1" applyBorder="1" applyProtection="1">
      <protection locked="0"/>
    </xf>
    <xf numFmtId="0" fontId="0" fillId="0" borderId="4" xfId="0" applyBorder="1" applyAlignment="1">
      <alignment horizontal="center"/>
    </xf>
    <xf numFmtId="0" fontId="0" fillId="0" borderId="0" xfId="0" applyProtection="1">
      <protection locked="0"/>
    </xf>
    <xf numFmtId="14" fontId="0" fillId="0" borderId="0" xfId="0" applyNumberFormat="1" applyProtection="1">
      <protection locked="0"/>
    </xf>
    <xf numFmtId="0" fontId="14" fillId="0" borderId="0" xfId="0" applyFont="1"/>
    <xf numFmtId="0" fontId="15" fillId="0" borderId="0" xfId="5"/>
    <xf numFmtId="49" fontId="19" fillId="0" borderId="0" xfId="0" applyNumberFormat="1" applyFont="1" applyAlignment="1">
      <alignment horizontal="right" wrapText="1"/>
    </xf>
    <xf numFmtId="0" fontId="21" fillId="0" borderId="0" xfId="0" applyFont="1"/>
    <xf numFmtId="0" fontId="9" fillId="0" borderId="0" xfId="0" applyFont="1"/>
    <xf numFmtId="165" fontId="0" fillId="2" borderId="4" xfId="2" applyNumberFormat="1" applyFont="1" applyFill="1" applyBorder="1" applyProtection="1">
      <protection locked="0"/>
    </xf>
    <xf numFmtId="165" fontId="0" fillId="2" borderId="4" xfId="2" applyNumberFormat="1" applyFont="1" applyFill="1" applyBorder="1"/>
    <xf numFmtId="49" fontId="0" fillId="0" borderId="4" xfId="0" applyNumberFormat="1" applyBorder="1" applyAlignment="1">
      <alignment horizontal="center" vertical="center" wrapText="1"/>
    </xf>
    <xf numFmtId="49" fontId="0" fillId="0" borderId="0" xfId="0" applyNumberFormat="1"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3" fillId="0" borderId="1" xfId="0" applyFont="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0" fontId="5" fillId="0" borderId="3" xfId="0" applyFont="1" applyBorder="1" applyAlignment="1">
      <alignment horizontal="center"/>
    </xf>
  </cellXfs>
  <cellStyles count="6">
    <cellStyle name="Comma" xfId="1" builtinId="3"/>
    <cellStyle name="Comma 2" xfId="3"/>
    <cellStyle name="Currency" xfId="2" builtinId="4"/>
    <cellStyle name="Currency 2" xfId="4"/>
    <cellStyle name="Hyperlink" xfId="5"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66675</xdr:colOff>
          <xdr:row>0</xdr:row>
          <xdr:rowOff>85725</xdr:rowOff>
        </xdr:from>
        <xdr:to>
          <xdr:col>9</xdr:col>
          <xdr:colOff>0</xdr:colOff>
          <xdr:row>0</xdr:row>
          <xdr:rowOff>323850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34</xdr:row>
          <xdr:rowOff>171450</xdr:rowOff>
        </xdr:from>
        <xdr:to>
          <xdr:col>21</xdr:col>
          <xdr:colOff>390525</xdr:colOff>
          <xdr:row>36</xdr:row>
          <xdr:rowOff>57150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Load row into the Simulator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session.hydroquebec.com/client/group/suivi-performance" TargetMode="External"/><Relationship Id="rId1" Type="http://schemas.openxmlformats.org/officeDocument/2006/relationships/hyperlink" Target="https://session.hydroquebec.com/client/group/suivi-performance"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74"/>
  <sheetViews>
    <sheetView tabSelected="1" workbookViewId="0">
      <selection activeCell="D54" sqref="D54"/>
    </sheetView>
  </sheetViews>
  <sheetFormatPr defaultRowHeight="15" x14ac:dyDescent="0.25"/>
  <sheetData>
    <row r="1" spans="1:2" ht="18.75" x14ac:dyDescent="0.3">
      <c r="A1" s="46" t="s">
        <v>147</v>
      </c>
    </row>
    <row r="3" spans="1:2" x14ac:dyDescent="0.25">
      <c r="B3" t="s">
        <v>148</v>
      </c>
    </row>
    <row r="4" spans="1:2" x14ac:dyDescent="0.25">
      <c r="B4" t="s">
        <v>149</v>
      </c>
    </row>
    <row r="5" spans="1:2" x14ac:dyDescent="0.25">
      <c r="B5" t="s">
        <v>150</v>
      </c>
    </row>
    <row r="7" spans="1:2" x14ac:dyDescent="0.25">
      <c r="B7" t="s">
        <v>151</v>
      </c>
    </row>
    <row r="8" spans="1:2" x14ac:dyDescent="0.25">
      <c r="B8" t="s">
        <v>152</v>
      </c>
    </row>
    <row r="9" spans="1:2" x14ac:dyDescent="0.25">
      <c r="B9" s="2" t="s">
        <v>193</v>
      </c>
    </row>
    <row r="11" spans="1:2" x14ac:dyDescent="0.25">
      <c r="B11" s="18" t="s">
        <v>153</v>
      </c>
    </row>
    <row r="12" spans="1:2" x14ac:dyDescent="0.25">
      <c r="B12" t="s">
        <v>154</v>
      </c>
    </row>
    <row r="13" spans="1:2" x14ac:dyDescent="0.25">
      <c r="B13" s="2" t="s">
        <v>194</v>
      </c>
    </row>
    <row r="15" spans="1:2" x14ac:dyDescent="0.25">
      <c r="B15" s="18" t="s">
        <v>195</v>
      </c>
    </row>
    <row r="16" spans="1:2" x14ac:dyDescent="0.25">
      <c r="B16" t="s">
        <v>155</v>
      </c>
    </row>
    <row r="17" spans="2:3" x14ac:dyDescent="0.25">
      <c r="C17" t="s">
        <v>156</v>
      </c>
    </row>
    <row r="18" spans="2:3" x14ac:dyDescent="0.25">
      <c r="C18" t="s">
        <v>336</v>
      </c>
    </row>
    <row r="19" spans="2:3" x14ac:dyDescent="0.25">
      <c r="B19" t="s">
        <v>157</v>
      </c>
    </row>
    <row r="20" spans="2:3" x14ac:dyDescent="0.25">
      <c r="C20" t="s">
        <v>196</v>
      </c>
    </row>
    <row r="21" spans="2:3" x14ac:dyDescent="0.25">
      <c r="C21" t="s">
        <v>202</v>
      </c>
    </row>
    <row r="22" spans="2:3" x14ac:dyDescent="0.25">
      <c r="C22" t="s">
        <v>197</v>
      </c>
    </row>
    <row r="23" spans="2:3" x14ac:dyDescent="0.25">
      <c r="B23" t="s">
        <v>190</v>
      </c>
    </row>
    <row r="24" spans="2:3" x14ac:dyDescent="0.25">
      <c r="C24" t="s">
        <v>191</v>
      </c>
    </row>
    <row r="25" spans="2:3" x14ac:dyDescent="0.25">
      <c r="C25" t="s">
        <v>198</v>
      </c>
    </row>
    <row r="26" spans="2:3" x14ac:dyDescent="0.25">
      <c r="C26" s="47" t="s">
        <v>203</v>
      </c>
    </row>
    <row r="27" spans="2:3" x14ac:dyDescent="0.25">
      <c r="C27" s="52" t="s">
        <v>204</v>
      </c>
    </row>
    <row r="28" spans="2:3" x14ac:dyDescent="0.25">
      <c r="C28" t="s">
        <v>192</v>
      </c>
    </row>
    <row r="32" spans="2:3" x14ac:dyDescent="0.25">
      <c r="B32" s="55" t="s">
        <v>335</v>
      </c>
    </row>
    <row r="34" spans="1:2" x14ac:dyDescent="0.25">
      <c r="B34" t="s">
        <v>253</v>
      </c>
    </row>
    <row r="35" spans="1:2" x14ac:dyDescent="0.25">
      <c r="B35" t="s">
        <v>254</v>
      </c>
    </row>
    <row r="36" spans="1:2" x14ac:dyDescent="0.25">
      <c r="B36" t="s">
        <v>255</v>
      </c>
    </row>
    <row r="38" spans="1:2" x14ac:dyDescent="0.25">
      <c r="B38" s="55" t="s">
        <v>256</v>
      </c>
    </row>
    <row r="40" spans="1:2" x14ac:dyDescent="0.25">
      <c r="B40" s="2" t="s">
        <v>257</v>
      </c>
    </row>
    <row r="44" spans="1:2" ht="18.75" x14ac:dyDescent="0.3">
      <c r="A44" s="56" t="s">
        <v>280</v>
      </c>
    </row>
    <row r="45" spans="1:2" ht="18.75" x14ac:dyDescent="0.3">
      <c r="A45" s="46" t="s">
        <v>281</v>
      </c>
    </row>
    <row r="47" spans="1:2" x14ac:dyDescent="0.25">
      <c r="B47" s="18" t="s">
        <v>282</v>
      </c>
    </row>
    <row r="48" spans="1:2" x14ac:dyDescent="0.25">
      <c r="B48" t="s">
        <v>283</v>
      </c>
    </row>
    <row r="49" spans="2:4" x14ac:dyDescent="0.25">
      <c r="B49" s="2" t="s">
        <v>284</v>
      </c>
    </row>
    <row r="50" spans="2:4" x14ac:dyDescent="0.25">
      <c r="B50" t="s">
        <v>285</v>
      </c>
    </row>
    <row r="51" spans="2:4" x14ac:dyDescent="0.25">
      <c r="B51" s="18" t="s">
        <v>286</v>
      </c>
    </row>
    <row r="52" spans="2:4" x14ac:dyDescent="0.25">
      <c r="C52" t="s">
        <v>287</v>
      </c>
    </row>
    <row r="53" spans="2:4" x14ac:dyDescent="0.25">
      <c r="D53" t="s">
        <v>288</v>
      </c>
    </row>
    <row r="54" spans="2:4" x14ac:dyDescent="0.25">
      <c r="D54" t="s">
        <v>337</v>
      </c>
    </row>
    <row r="55" spans="2:4" x14ac:dyDescent="0.25">
      <c r="C55" t="s">
        <v>289</v>
      </c>
    </row>
    <row r="56" spans="2:4" x14ac:dyDescent="0.25">
      <c r="D56" t="s">
        <v>290</v>
      </c>
    </row>
    <row r="57" spans="2:4" x14ac:dyDescent="0.25">
      <c r="D57" t="s">
        <v>291</v>
      </c>
    </row>
    <row r="58" spans="2:4" x14ac:dyDescent="0.25">
      <c r="D58" t="s">
        <v>292</v>
      </c>
    </row>
    <row r="59" spans="2:4" x14ac:dyDescent="0.25">
      <c r="C59" t="s">
        <v>293</v>
      </c>
    </row>
    <row r="60" spans="2:4" x14ac:dyDescent="0.25">
      <c r="D60" t="s">
        <v>294</v>
      </c>
    </row>
    <row r="61" spans="2:4" x14ac:dyDescent="0.25">
      <c r="D61" t="s">
        <v>295</v>
      </c>
    </row>
    <row r="62" spans="2:4" x14ac:dyDescent="0.25">
      <c r="D62" s="47" t="s">
        <v>296</v>
      </c>
    </row>
    <row r="63" spans="2:4" x14ac:dyDescent="0.25">
      <c r="D63" t="s">
        <v>297</v>
      </c>
    </row>
    <row r="64" spans="2:4" x14ac:dyDescent="0.25">
      <c r="D64" t="s">
        <v>298</v>
      </c>
    </row>
    <row r="66" spans="2:2" x14ac:dyDescent="0.25">
      <c r="B66" s="55" t="s">
        <v>299</v>
      </c>
    </row>
    <row r="68" spans="2:2" x14ac:dyDescent="0.25">
      <c r="B68" t="s">
        <v>300</v>
      </c>
    </row>
    <row r="69" spans="2:2" x14ac:dyDescent="0.25">
      <c r="B69" t="s">
        <v>301</v>
      </c>
    </row>
    <row r="70" spans="2:2" x14ac:dyDescent="0.25">
      <c r="B70" t="s">
        <v>302</v>
      </c>
    </row>
    <row r="71" spans="2:2" x14ac:dyDescent="0.25">
      <c r="B71" t="s">
        <v>285</v>
      </c>
    </row>
    <row r="72" spans="2:2" x14ac:dyDescent="0.25">
      <c r="B72" s="55" t="s">
        <v>303</v>
      </c>
    </row>
    <row r="73" spans="2:2" x14ac:dyDescent="0.25">
      <c r="B73" t="s">
        <v>285</v>
      </c>
    </row>
    <row r="74" spans="2:2" x14ac:dyDescent="0.25">
      <c r="B74" s="2" t="s">
        <v>304</v>
      </c>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147"/>
  <sheetViews>
    <sheetView workbookViewId="0"/>
  </sheetViews>
  <sheetFormatPr defaultRowHeight="15" x14ac:dyDescent="0.25"/>
  <cols>
    <col min="1" max="1" width="10.42578125" bestFit="1" customWidth="1"/>
  </cols>
  <sheetData>
    <row r="1" spans="1:25" x14ac:dyDescent="0.25">
      <c r="A1" s="50" t="s">
        <v>40</v>
      </c>
      <c r="B1" s="50">
        <v>0</v>
      </c>
      <c r="C1" s="50">
        <v>1</v>
      </c>
      <c r="D1" s="50">
        <v>2</v>
      </c>
      <c r="E1" s="50">
        <v>3</v>
      </c>
      <c r="F1" s="50">
        <v>4</v>
      </c>
      <c r="G1" s="50">
        <v>5</v>
      </c>
      <c r="H1" s="50">
        <v>6</v>
      </c>
      <c r="I1" s="50">
        <v>7</v>
      </c>
      <c r="J1" s="50">
        <v>8</v>
      </c>
      <c r="K1" s="50">
        <v>9</v>
      </c>
      <c r="L1" s="50">
        <v>10</v>
      </c>
      <c r="M1" s="50">
        <v>11</v>
      </c>
      <c r="N1" s="50">
        <v>12</v>
      </c>
      <c r="O1" s="50">
        <v>13</v>
      </c>
      <c r="P1" s="50">
        <v>14</v>
      </c>
      <c r="Q1" s="50">
        <v>15</v>
      </c>
      <c r="R1" s="50">
        <v>16</v>
      </c>
      <c r="S1" s="50">
        <v>17</v>
      </c>
      <c r="T1" s="50">
        <v>18</v>
      </c>
      <c r="U1" s="50">
        <v>19</v>
      </c>
      <c r="V1" s="50">
        <v>20</v>
      </c>
      <c r="W1" s="50">
        <v>21</v>
      </c>
      <c r="X1" s="50">
        <v>22</v>
      </c>
      <c r="Y1" s="50">
        <v>23</v>
      </c>
    </row>
    <row r="2" spans="1:25" x14ac:dyDescent="0.25">
      <c r="A2" s="51">
        <v>45976</v>
      </c>
      <c r="B2" s="50">
        <v>1.91</v>
      </c>
      <c r="C2" s="50">
        <v>2.3199999999999998</v>
      </c>
      <c r="D2" s="50">
        <v>4.37</v>
      </c>
      <c r="E2" s="50">
        <v>2.96</v>
      </c>
      <c r="F2" s="50">
        <v>2.79</v>
      </c>
      <c r="G2" s="50">
        <v>3.49</v>
      </c>
      <c r="H2" s="50">
        <v>8.58</v>
      </c>
      <c r="I2" s="50">
        <v>5.84</v>
      </c>
      <c r="J2" s="50">
        <v>2.39</v>
      </c>
      <c r="K2" s="50">
        <v>3.07</v>
      </c>
      <c r="L2" s="50">
        <v>1.08</v>
      </c>
      <c r="M2" s="50">
        <v>2.68</v>
      </c>
      <c r="N2" s="50">
        <v>3.28</v>
      </c>
      <c r="O2" s="50">
        <v>3.37</v>
      </c>
      <c r="P2" s="50">
        <v>3.39</v>
      </c>
      <c r="Q2" s="50">
        <v>6.9</v>
      </c>
      <c r="R2" s="50">
        <v>5.76</v>
      </c>
      <c r="S2" s="50">
        <v>6.78</v>
      </c>
      <c r="T2" s="50">
        <v>6.03</v>
      </c>
      <c r="U2" s="50">
        <v>7.51</v>
      </c>
      <c r="V2" s="50">
        <v>4.7</v>
      </c>
      <c r="W2" s="50">
        <v>1.19</v>
      </c>
      <c r="X2" s="50">
        <v>0.9</v>
      </c>
      <c r="Y2" s="50">
        <v>2.19</v>
      </c>
    </row>
    <row r="3" spans="1:25" x14ac:dyDescent="0.25">
      <c r="A3" s="51">
        <v>45977</v>
      </c>
      <c r="B3" s="50">
        <v>1.7</v>
      </c>
      <c r="C3" s="50">
        <v>1.97</v>
      </c>
      <c r="D3" s="50">
        <v>3.98</v>
      </c>
      <c r="E3" s="50">
        <v>2.75</v>
      </c>
      <c r="F3" s="50">
        <v>3.79</v>
      </c>
      <c r="G3" s="50">
        <v>3.64</v>
      </c>
      <c r="H3" s="50">
        <v>7.19</v>
      </c>
      <c r="I3" s="50">
        <v>7.98</v>
      </c>
      <c r="J3" s="50">
        <v>7.23</v>
      </c>
      <c r="K3" s="50">
        <v>5.31</v>
      </c>
      <c r="L3" s="50">
        <v>3.32</v>
      </c>
      <c r="M3" s="50">
        <v>0.83</v>
      </c>
      <c r="N3" s="50">
        <v>1.06</v>
      </c>
      <c r="O3" s="50">
        <v>1.19</v>
      </c>
      <c r="P3" s="50">
        <v>0.82</v>
      </c>
      <c r="Q3" s="50">
        <v>13.1</v>
      </c>
      <c r="R3" s="50">
        <v>15.27</v>
      </c>
      <c r="S3" s="50">
        <v>17.86</v>
      </c>
      <c r="T3" s="50">
        <v>12.83</v>
      </c>
      <c r="U3" s="50">
        <v>11.17</v>
      </c>
      <c r="V3" s="50">
        <v>10.71</v>
      </c>
      <c r="W3" s="50">
        <v>1.43</v>
      </c>
      <c r="X3" s="50">
        <v>2.86</v>
      </c>
      <c r="Y3" s="50">
        <v>1.63</v>
      </c>
    </row>
    <row r="4" spans="1:25" x14ac:dyDescent="0.25">
      <c r="A4" s="51">
        <v>45978</v>
      </c>
      <c r="B4" s="50">
        <v>2.0499999999999998</v>
      </c>
      <c r="C4" s="50">
        <v>2.21</v>
      </c>
      <c r="D4" s="50">
        <v>2.7</v>
      </c>
      <c r="E4" s="50">
        <v>3.11</v>
      </c>
      <c r="F4" s="50">
        <v>3.01</v>
      </c>
      <c r="G4" s="50">
        <v>4.9400000000000004</v>
      </c>
      <c r="H4" s="50">
        <v>7.43</v>
      </c>
      <c r="I4" s="50">
        <v>6.8</v>
      </c>
      <c r="J4" s="50">
        <v>6.3</v>
      </c>
      <c r="K4" s="50">
        <v>6.64</v>
      </c>
      <c r="L4" s="50">
        <v>4.62</v>
      </c>
      <c r="M4" s="50">
        <v>4.21</v>
      </c>
      <c r="N4" s="50">
        <v>4.8899999999999997</v>
      </c>
      <c r="O4" s="50">
        <v>2.95</v>
      </c>
      <c r="P4" s="50">
        <v>3.33</v>
      </c>
      <c r="Q4" s="50">
        <v>4.09</v>
      </c>
      <c r="R4" s="50">
        <v>6.74</v>
      </c>
      <c r="S4" s="50">
        <v>7.93</v>
      </c>
      <c r="T4" s="50">
        <v>8.16</v>
      </c>
      <c r="U4" s="50">
        <v>5.86</v>
      </c>
      <c r="V4" s="50">
        <v>6.03</v>
      </c>
      <c r="W4" s="50">
        <v>2.09</v>
      </c>
      <c r="X4" s="50">
        <v>2.38</v>
      </c>
      <c r="Y4" s="50">
        <v>1.38</v>
      </c>
    </row>
    <row r="5" spans="1:25" x14ac:dyDescent="0.25">
      <c r="A5" s="51">
        <v>45979</v>
      </c>
      <c r="B5" s="50">
        <v>2.06</v>
      </c>
      <c r="C5" s="50">
        <v>3.71</v>
      </c>
      <c r="D5" s="50">
        <v>2.68</v>
      </c>
      <c r="E5" s="50">
        <v>2.7</v>
      </c>
      <c r="F5" s="50">
        <v>2.67</v>
      </c>
      <c r="G5" s="50">
        <v>2.95</v>
      </c>
      <c r="H5" s="50">
        <v>6.63</v>
      </c>
      <c r="I5" s="50">
        <v>9.18</v>
      </c>
      <c r="J5" s="50">
        <v>8.89</v>
      </c>
      <c r="K5" s="50">
        <v>6.88</v>
      </c>
      <c r="L5" s="50">
        <v>4.99</v>
      </c>
      <c r="M5" s="50">
        <v>5.33</v>
      </c>
      <c r="N5" s="50">
        <v>4.5</v>
      </c>
      <c r="O5" s="50">
        <v>3.89</v>
      </c>
      <c r="P5" s="50">
        <v>3.09</v>
      </c>
      <c r="Q5" s="50">
        <v>5.62</v>
      </c>
      <c r="R5" s="50">
        <v>4.84</v>
      </c>
      <c r="S5" s="50">
        <v>5.15</v>
      </c>
      <c r="T5" s="50">
        <v>5.62</v>
      </c>
      <c r="U5" s="50">
        <v>4.47</v>
      </c>
      <c r="V5" s="50">
        <v>4.1399999999999997</v>
      </c>
      <c r="W5" s="50">
        <v>1.54</v>
      </c>
      <c r="X5" s="50">
        <v>3.24</v>
      </c>
      <c r="Y5" s="50">
        <v>2.04</v>
      </c>
    </row>
    <row r="6" spans="1:25" x14ac:dyDescent="0.25">
      <c r="A6" s="51">
        <v>45980</v>
      </c>
      <c r="B6" s="50">
        <v>2.58</v>
      </c>
      <c r="C6" s="50">
        <v>2.57</v>
      </c>
      <c r="D6" s="50">
        <v>3.54</v>
      </c>
      <c r="E6" s="50">
        <v>3.41</v>
      </c>
      <c r="F6" s="50">
        <v>5.16</v>
      </c>
      <c r="G6" s="50">
        <v>4.67</v>
      </c>
      <c r="H6" s="50">
        <v>7.4</v>
      </c>
      <c r="I6" s="50">
        <v>7.72</v>
      </c>
      <c r="J6" s="50">
        <v>2.1800000000000002</v>
      </c>
      <c r="K6" s="50">
        <v>1.1399999999999999</v>
      </c>
      <c r="L6" s="50">
        <v>2.4500000000000002</v>
      </c>
      <c r="M6" s="50">
        <v>2.93</v>
      </c>
      <c r="N6" s="50">
        <v>3</v>
      </c>
      <c r="O6" s="50">
        <v>4.08</v>
      </c>
      <c r="P6" s="50">
        <v>2.71</v>
      </c>
      <c r="Q6" s="50">
        <v>3.64</v>
      </c>
      <c r="R6" s="50">
        <v>4.1500000000000004</v>
      </c>
      <c r="S6" s="50">
        <v>9.36</v>
      </c>
      <c r="T6" s="50">
        <v>8</v>
      </c>
      <c r="U6" s="50">
        <v>5.26</v>
      </c>
      <c r="V6" s="50">
        <v>5.71</v>
      </c>
      <c r="W6" s="50">
        <v>1.61</v>
      </c>
      <c r="X6" s="50">
        <v>2.88</v>
      </c>
      <c r="Y6" s="50">
        <v>3.22</v>
      </c>
    </row>
    <row r="7" spans="1:25" x14ac:dyDescent="0.25">
      <c r="A7" s="51">
        <v>45981</v>
      </c>
      <c r="B7" s="50">
        <v>4.97</v>
      </c>
      <c r="C7" s="50">
        <v>3.16</v>
      </c>
      <c r="D7" s="50">
        <v>2.61</v>
      </c>
      <c r="E7" s="50">
        <v>4.16</v>
      </c>
      <c r="F7" s="50">
        <v>3.5</v>
      </c>
      <c r="G7" s="50">
        <v>3.28</v>
      </c>
      <c r="H7" s="50">
        <v>10.07</v>
      </c>
      <c r="I7" s="50">
        <v>7.5</v>
      </c>
      <c r="J7" s="50">
        <v>5.66</v>
      </c>
      <c r="K7" s="50">
        <v>4.92</v>
      </c>
      <c r="L7" s="50">
        <v>4.57</v>
      </c>
      <c r="M7" s="50">
        <v>5.7</v>
      </c>
      <c r="N7" s="50">
        <v>4.09</v>
      </c>
      <c r="O7" s="50">
        <v>6.06</v>
      </c>
      <c r="P7" s="50">
        <v>4.21</v>
      </c>
      <c r="Q7" s="50">
        <v>4.32</v>
      </c>
      <c r="R7" s="50">
        <v>4.4000000000000004</v>
      </c>
      <c r="S7" s="50">
        <v>6.13</v>
      </c>
      <c r="T7" s="50">
        <v>6.27</v>
      </c>
      <c r="U7" s="50">
        <v>5.07</v>
      </c>
      <c r="V7" s="50">
        <v>5.92</v>
      </c>
      <c r="W7" s="50">
        <v>1.01</v>
      </c>
      <c r="X7" s="50">
        <v>2.21</v>
      </c>
      <c r="Y7" s="50">
        <v>2.2000000000000002</v>
      </c>
    </row>
    <row r="8" spans="1:25" x14ac:dyDescent="0.25">
      <c r="A8" s="51">
        <v>45982</v>
      </c>
      <c r="B8" s="50">
        <v>2.4900000000000002</v>
      </c>
      <c r="C8" s="50">
        <v>2.23</v>
      </c>
      <c r="D8" s="50">
        <v>2.99</v>
      </c>
      <c r="E8" s="50">
        <v>6.08</v>
      </c>
      <c r="F8" s="50">
        <v>3.42</v>
      </c>
      <c r="G8" s="50">
        <v>3.9</v>
      </c>
      <c r="H8" s="50">
        <v>8.26</v>
      </c>
      <c r="I8" s="50">
        <v>10.9</v>
      </c>
      <c r="J8" s="50">
        <v>6.39</v>
      </c>
      <c r="K8" s="50">
        <v>4.7300000000000004</v>
      </c>
      <c r="L8" s="50">
        <v>5.01</v>
      </c>
      <c r="M8" s="50">
        <v>4.9000000000000004</v>
      </c>
      <c r="N8" s="50">
        <v>4.62</v>
      </c>
      <c r="O8" s="50">
        <v>4.87</v>
      </c>
      <c r="P8" s="50">
        <v>8</v>
      </c>
      <c r="Q8" s="50">
        <v>12.76</v>
      </c>
      <c r="R8" s="50">
        <v>12.52</v>
      </c>
      <c r="S8" s="50">
        <v>13.5</v>
      </c>
      <c r="T8" s="50">
        <v>10.66</v>
      </c>
      <c r="U8" s="50">
        <v>2.94</v>
      </c>
      <c r="V8" s="50">
        <v>4.99</v>
      </c>
      <c r="W8" s="50">
        <v>0</v>
      </c>
      <c r="X8" s="50">
        <v>0</v>
      </c>
      <c r="Y8" s="50">
        <v>0</v>
      </c>
    </row>
    <row r="9" spans="1:25" x14ac:dyDescent="0.25">
      <c r="A9" s="51">
        <v>45983</v>
      </c>
      <c r="B9" s="50">
        <v>0</v>
      </c>
      <c r="C9" s="50">
        <v>0</v>
      </c>
      <c r="D9" s="50">
        <v>0</v>
      </c>
      <c r="E9" s="50">
        <v>0</v>
      </c>
      <c r="F9" s="50">
        <v>0</v>
      </c>
      <c r="G9" s="50">
        <v>0</v>
      </c>
      <c r="H9" s="50">
        <v>0</v>
      </c>
      <c r="I9" s="50">
        <v>0</v>
      </c>
      <c r="J9" s="50">
        <v>0</v>
      </c>
      <c r="K9" s="50">
        <v>1.36</v>
      </c>
      <c r="L9" s="50">
        <v>11.52</v>
      </c>
      <c r="M9" s="50">
        <v>5.0999999999999996</v>
      </c>
      <c r="N9" s="50">
        <v>3.19</v>
      </c>
      <c r="O9" s="50">
        <v>2.42</v>
      </c>
      <c r="P9" s="50">
        <v>4.01</v>
      </c>
      <c r="Q9" s="50">
        <v>3.66</v>
      </c>
      <c r="R9" s="50">
        <v>2.93</v>
      </c>
      <c r="S9" s="50">
        <v>4.78</v>
      </c>
      <c r="T9" s="50">
        <v>4.6500000000000004</v>
      </c>
      <c r="U9" s="50">
        <v>5.15</v>
      </c>
      <c r="V9" s="50">
        <v>6.03</v>
      </c>
      <c r="W9" s="50">
        <v>1.0900000000000001</v>
      </c>
      <c r="X9" s="50">
        <v>1.66</v>
      </c>
      <c r="Y9" s="50">
        <v>2.0499999999999998</v>
      </c>
    </row>
    <row r="10" spans="1:25" x14ac:dyDescent="0.25">
      <c r="A10" s="51">
        <v>45984</v>
      </c>
      <c r="B10" s="50">
        <v>3.38</v>
      </c>
      <c r="C10" s="50">
        <v>3.41</v>
      </c>
      <c r="D10" s="50">
        <v>4.6100000000000003</v>
      </c>
      <c r="E10" s="50">
        <v>3.91</v>
      </c>
      <c r="F10" s="50">
        <v>3.81</v>
      </c>
      <c r="G10" s="50">
        <v>4.04</v>
      </c>
      <c r="H10" s="50">
        <v>7.33</v>
      </c>
      <c r="I10" s="50">
        <v>8.5299999999999994</v>
      </c>
      <c r="J10" s="50">
        <v>5.71</v>
      </c>
      <c r="K10" s="50">
        <v>5.76</v>
      </c>
      <c r="L10" s="50">
        <v>4.1399999999999997</v>
      </c>
      <c r="M10" s="50">
        <v>3.75</v>
      </c>
      <c r="N10" s="50">
        <v>3.57</v>
      </c>
      <c r="O10" s="50">
        <v>4.0999999999999996</v>
      </c>
      <c r="P10" s="50">
        <v>4.95</v>
      </c>
      <c r="Q10" s="50">
        <v>11.31</v>
      </c>
      <c r="R10" s="50">
        <v>14.45</v>
      </c>
      <c r="S10" s="50">
        <v>18.899999999999999</v>
      </c>
      <c r="T10" s="50">
        <v>13.96</v>
      </c>
      <c r="U10" s="50">
        <v>12.87</v>
      </c>
      <c r="V10" s="50">
        <v>7.47</v>
      </c>
      <c r="W10" s="50">
        <v>1.17</v>
      </c>
      <c r="X10" s="50">
        <v>1</v>
      </c>
      <c r="Y10" s="50">
        <v>1.65</v>
      </c>
    </row>
    <row r="11" spans="1:25" x14ac:dyDescent="0.25">
      <c r="A11" s="51">
        <v>45985</v>
      </c>
      <c r="B11" s="50">
        <v>3.15</v>
      </c>
      <c r="C11" s="50">
        <v>2.65</v>
      </c>
      <c r="D11" s="50">
        <v>1.99</v>
      </c>
      <c r="E11" s="50">
        <v>2.38</v>
      </c>
      <c r="F11" s="50">
        <v>2.54</v>
      </c>
      <c r="G11" s="50">
        <v>2.85</v>
      </c>
      <c r="H11" s="50">
        <v>8.36</v>
      </c>
      <c r="I11" s="50">
        <v>8.48</v>
      </c>
      <c r="J11" s="50">
        <v>4.58</v>
      </c>
      <c r="K11" s="50">
        <v>2.66</v>
      </c>
      <c r="L11" s="50">
        <v>2.41</v>
      </c>
      <c r="M11" s="50">
        <v>2.67</v>
      </c>
      <c r="N11" s="50">
        <v>2.94</v>
      </c>
      <c r="O11" s="50">
        <v>3.16</v>
      </c>
      <c r="P11" s="50">
        <v>4.5999999999999996</v>
      </c>
      <c r="Q11" s="50">
        <v>6.11</v>
      </c>
      <c r="R11" s="50">
        <v>5.0599999999999996</v>
      </c>
      <c r="S11" s="50">
        <v>4.84</v>
      </c>
      <c r="T11" s="50">
        <v>4.91</v>
      </c>
      <c r="U11" s="50">
        <v>4.34</v>
      </c>
      <c r="V11" s="50">
        <v>3.33</v>
      </c>
      <c r="W11" s="50">
        <v>3.38</v>
      </c>
      <c r="X11" s="50">
        <v>1.25</v>
      </c>
      <c r="Y11" s="50">
        <v>1.38</v>
      </c>
    </row>
    <row r="12" spans="1:25" x14ac:dyDescent="0.25">
      <c r="A12" s="51">
        <v>45986</v>
      </c>
      <c r="B12" s="50">
        <v>1.91</v>
      </c>
      <c r="C12" s="50">
        <v>2</v>
      </c>
      <c r="D12" s="50">
        <v>2.1800000000000002</v>
      </c>
      <c r="E12" s="50">
        <v>2.2000000000000002</v>
      </c>
      <c r="F12" s="50">
        <v>3.64</v>
      </c>
      <c r="G12" s="50">
        <v>3.64</v>
      </c>
      <c r="H12" s="50">
        <v>8.1999999999999993</v>
      </c>
      <c r="I12" s="50">
        <v>6.14</v>
      </c>
      <c r="J12" s="50">
        <v>4.6399999999999997</v>
      </c>
      <c r="K12" s="50">
        <v>3.31</v>
      </c>
      <c r="L12" s="50">
        <v>3.59</v>
      </c>
      <c r="M12" s="50">
        <v>2.56</v>
      </c>
      <c r="N12" s="50">
        <v>1.91</v>
      </c>
      <c r="O12" s="50">
        <v>0.97</v>
      </c>
      <c r="P12" s="50">
        <v>2.72</v>
      </c>
      <c r="Q12" s="50">
        <v>0.99</v>
      </c>
      <c r="R12" s="50">
        <v>4.8600000000000003</v>
      </c>
      <c r="S12" s="50">
        <v>4.71</v>
      </c>
      <c r="T12" s="50">
        <v>4.4800000000000004</v>
      </c>
      <c r="U12" s="50">
        <v>3.97</v>
      </c>
      <c r="V12" s="50">
        <v>3.16</v>
      </c>
      <c r="W12" s="50">
        <v>1.0900000000000001</v>
      </c>
      <c r="X12" s="50">
        <v>0.99</v>
      </c>
      <c r="Y12" s="50">
        <v>3.31</v>
      </c>
    </row>
    <row r="13" spans="1:25" x14ac:dyDescent="0.25">
      <c r="A13" s="51">
        <v>45987</v>
      </c>
      <c r="B13" s="50">
        <v>1.23</v>
      </c>
      <c r="C13" s="50">
        <v>1.56</v>
      </c>
      <c r="D13" s="50">
        <v>1.53</v>
      </c>
      <c r="E13" s="50">
        <v>1.81</v>
      </c>
      <c r="F13" s="50">
        <v>2.06</v>
      </c>
      <c r="G13" s="50">
        <v>2.52</v>
      </c>
      <c r="H13" s="50">
        <v>7.25</v>
      </c>
      <c r="I13" s="50">
        <v>6.38</v>
      </c>
      <c r="J13" s="50">
        <v>7.78</v>
      </c>
      <c r="K13" s="50">
        <v>4.47</v>
      </c>
      <c r="L13" s="50">
        <v>4.0999999999999996</v>
      </c>
      <c r="M13" s="50">
        <v>4.16</v>
      </c>
      <c r="N13" s="50">
        <v>3.19</v>
      </c>
      <c r="O13" s="50">
        <v>3.39</v>
      </c>
      <c r="P13" s="50">
        <v>3.56</v>
      </c>
      <c r="Q13" s="50">
        <v>5.08</v>
      </c>
      <c r="R13" s="50">
        <v>8.6999999999999993</v>
      </c>
      <c r="S13" s="50">
        <v>6.63</v>
      </c>
      <c r="T13" s="50">
        <v>5.61</v>
      </c>
      <c r="U13" s="50">
        <v>3.46</v>
      </c>
      <c r="V13" s="50">
        <v>3.47</v>
      </c>
      <c r="W13" s="50">
        <v>1.45</v>
      </c>
      <c r="X13" s="50">
        <v>0.8</v>
      </c>
      <c r="Y13" s="50">
        <v>1.1299999999999999</v>
      </c>
    </row>
    <row r="14" spans="1:25" x14ac:dyDescent="0.25">
      <c r="A14" s="51">
        <v>45988</v>
      </c>
      <c r="B14" s="50">
        <v>3.04</v>
      </c>
      <c r="C14" s="50">
        <v>1.65</v>
      </c>
      <c r="D14" s="50">
        <v>2.16</v>
      </c>
      <c r="E14" s="50">
        <v>2.08</v>
      </c>
      <c r="F14" s="50">
        <v>2.3199999999999998</v>
      </c>
      <c r="G14" s="50">
        <v>2.39</v>
      </c>
      <c r="H14" s="50">
        <v>7.06</v>
      </c>
      <c r="I14" s="50">
        <v>7.6</v>
      </c>
      <c r="J14" s="50">
        <v>4.79</v>
      </c>
      <c r="K14" s="50">
        <v>3.45</v>
      </c>
      <c r="L14" s="50">
        <v>3.44</v>
      </c>
      <c r="M14" s="50">
        <v>4.0199999999999996</v>
      </c>
      <c r="N14" s="50">
        <v>3.59</v>
      </c>
      <c r="O14" s="50">
        <v>5.05</v>
      </c>
      <c r="P14" s="50">
        <v>3.82</v>
      </c>
      <c r="Q14" s="50">
        <v>3.56</v>
      </c>
      <c r="R14" s="50">
        <v>6.02</v>
      </c>
      <c r="S14" s="50">
        <v>5.99</v>
      </c>
      <c r="T14" s="50">
        <v>5.99</v>
      </c>
      <c r="U14" s="50">
        <v>4.9000000000000004</v>
      </c>
      <c r="V14" s="50">
        <v>3.69</v>
      </c>
      <c r="W14" s="50">
        <v>1.1399999999999999</v>
      </c>
      <c r="X14" s="50">
        <v>7.69</v>
      </c>
      <c r="Y14" s="50">
        <v>9.19</v>
      </c>
    </row>
    <row r="15" spans="1:25" x14ac:dyDescent="0.25">
      <c r="A15" s="51">
        <v>45989</v>
      </c>
      <c r="B15" s="50">
        <v>9.17</v>
      </c>
      <c r="C15" s="50">
        <v>9.6199999999999992</v>
      </c>
      <c r="D15" s="50">
        <v>3.77</v>
      </c>
      <c r="E15" s="50">
        <v>2.5099999999999998</v>
      </c>
      <c r="F15" s="50">
        <v>2.79</v>
      </c>
      <c r="G15" s="50">
        <v>4.76</v>
      </c>
      <c r="H15" s="50">
        <v>6.91</v>
      </c>
      <c r="I15" s="50">
        <v>6.57</v>
      </c>
      <c r="J15" s="50">
        <v>5.49</v>
      </c>
      <c r="K15" s="50">
        <v>4.3</v>
      </c>
      <c r="L15" s="50">
        <v>5.07</v>
      </c>
      <c r="M15" s="50">
        <v>5.67</v>
      </c>
      <c r="N15" s="50">
        <v>6.03</v>
      </c>
      <c r="O15" s="50">
        <v>4.99</v>
      </c>
      <c r="P15" s="50">
        <v>4.32</v>
      </c>
      <c r="Q15" s="50">
        <v>4.71</v>
      </c>
      <c r="R15" s="50">
        <v>7.77</v>
      </c>
      <c r="S15" s="50">
        <v>6.72</v>
      </c>
      <c r="T15" s="50">
        <v>6.77</v>
      </c>
      <c r="U15" s="50">
        <v>4.47</v>
      </c>
      <c r="V15" s="50">
        <v>4.46</v>
      </c>
      <c r="W15" s="50">
        <v>1.47</v>
      </c>
      <c r="X15" s="50">
        <v>3.05</v>
      </c>
      <c r="Y15" s="50">
        <v>1.57</v>
      </c>
    </row>
    <row r="16" spans="1:25" x14ac:dyDescent="0.25">
      <c r="A16" s="51">
        <v>45990</v>
      </c>
      <c r="B16" s="50">
        <v>1.65</v>
      </c>
      <c r="C16" s="50">
        <v>2.71</v>
      </c>
      <c r="D16" s="50">
        <v>2.58</v>
      </c>
      <c r="E16" s="50">
        <v>2.57</v>
      </c>
      <c r="F16" s="50">
        <v>4.67</v>
      </c>
      <c r="G16" s="50">
        <v>3.22</v>
      </c>
      <c r="H16" s="50">
        <v>7.39</v>
      </c>
      <c r="I16" s="50">
        <v>6.62</v>
      </c>
      <c r="J16" s="50">
        <v>3.93</v>
      </c>
      <c r="K16" s="50">
        <v>0.89</v>
      </c>
      <c r="L16" s="50">
        <v>3.06</v>
      </c>
      <c r="M16" s="50">
        <v>2.78</v>
      </c>
      <c r="N16" s="50">
        <v>1.1100000000000001</v>
      </c>
      <c r="O16" s="50">
        <v>1.06</v>
      </c>
      <c r="P16" s="50">
        <v>2.64</v>
      </c>
      <c r="Q16" s="50">
        <v>4.7</v>
      </c>
      <c r="R16" s="50">
        <v>7.19</v>
      </c>
      <c r="S16" s="50">
        <v>5.48</v>
      </c>
      <c r="T16" s="50">
        <v>6.15</v>
      </c>
      <c r="U16" s="50">
        <v>5.75</v>
      </c>
      <c r="V16" s="50">
        <v>5.71</v>
      </c>
      <c r="W16" s="50">
        <v>1.67</v>
      </c>
      <c r="X16" s="50">
        <v>4.3099999999999996</v>
      </c>
      <c r="Y16" s="50">
        <v>2.17</v>
      </c>
    </row>
    <row r="17" spans="1:25" x14ac:dyDescent="0.25">
      <c r="A17" s="51">
        <v>45991</v>
      </c>
      <c r="B17" s="50">
        <v>2.21</v>
      </c>
      <c r="C17" s="50">
        <v>2.94</v>
      </c>
      <c r="D17" s="50">
        <v>3.35</v>
      </c>
      <c r="E17" s="50">
        <v>3.7</v>
      </c>
      <c r="F17" s="50">
        <v>4.7</v>
      </c>
      <c r="G17" s="50">
        <v>4.43</v>
      </c>
      <c r="H17" s="50">
        <v>7.48</v>
      </c>
      <c r="I17" s="50">
        <v>7.2</v>
      </c>
      <c r="J17" s="50">
        <v>7.37</v>
      </c>
      <c r="K17" s="50">
        <v>5</v>
      </c>
      <c r="L17" s="50">
        <v>7.09</v>
      </c>
      <c r="M17" s="50">
        <v>5.46</v>
      </c>
      <c r="N17" s="50">
        <v>5.07</v>
      </c>
      <c r="O17" s="50">
        <v>5.53</v>
      </c>
      <c r="P17" s="50">
        <v>4.83</v>
      </c>
      <c r="Q17" s="50">
        <v>8</v>
      </c>
      <c r="R17" s="50">
        <v>5.71</v>
      </c>
      <c r="S17" s="50">
        <v>6.21</v>
      </c>
      <c r="T17" s="50">
        <v>8.43</v>
      </c>
      <c r="U17" s="50">
        <v>5.79</v>
      </c>
      <c r="V17" s="50">
        <v>4.28</v>
      </c>
      <c r="W17" s="50">
        <v>1.1299999999999999</v>
      </c>
      <c r="X17" s="50">
        <v>1.1200000000000001</v>
      </c>
      <c r="Y17" s="50">
        <v>1.56</v>
      </c>
    </row>
    <row r="18" spans="1:25" x14ac:dyDescent="0.25">
      <c r="A18" s="51">
        <v>45992</v>
      </c>
      <c r="B18" s="50">
        <v>3.42</v>
      </c>
      <c r="C18" s="50">
        <v>1.27</v>
      </c>
      <c r="D18" s="50">
        <v>1.71</v>
      </c>
      <c r="E18" s="50">
        <v>1.74</v>
      </c>
      <c r="F18" s="50">
        <v>4.3</v>
      </c>
      <c r="G18" s="50">
        <v>3.32</v>
      </c>
      <c r="H18" s="50">
        <v>8.8000000000000007</v>
      </c>
      <c r="I18" s="50">
        <v>8.14</v>
      </c>
      <c r="J18" s="50">
        <v>5.16</v>
      </c>
      <c r="K18" s="50">
        <v>1.7</v>
      </c>
      <c r="L18" s="50">
        <v>3.57</v>
      </c>
      <c r="M18" s="50">
        <v>4.54</v>
      </c>
      <c r="N18" s="50">
        <v>3.46</v>
      </c>
      <c r="O18" s="50">
        <v>4.63</v>
      </c>
      <c r="P18" s="50">
        <v>9.17</v>
      </c>
      <c r="Q18" s="50">
        <v>5.56</v>
      </c>
      <c r="R18" s="50">
        <v>8.39</v>
      </c>
      <c r="S18" s="50">
        <v>8.16</v>
      </c>
      <c r="T18" s="50">
        <v>7.29</v>
      </c>
      <c r="U18" s="50">
        <v>6.74</v>
      </c>
      <c r="V18" s="50">
        <v>7.96</v>
      </c>
      <c r="W18" s="50">
        <v>4.2699999999999996</v>
      </c>
      <c r="X18" s="50">
        <v>3.66</v>
      </c>
      <c r="Y18" s="50">
        <v>3.49</v>
      </c>
    </row>
    <row r="19" spans="1:25" x14ac:dyDescent="0.25">
      <c r="A19" s="51">
        <v>45993</v>
      </c>
      <c r="B19" s="50">
        <v>3.98</v>
      </c>
      <c r="C19" s="50">
        <v>1.06</v>
      </c>
      <c r="D19" s="50">
        <v>1.06</v>
      </c>
      <c r="E19" s="50">
        <v>1</v>
      </c>
      <c r="F19" s="50">
        <v>13.67</v>
      </c>
      <c r="G19" s="50">
        <v>6.01</v>
      </c>
      <c r="H19" s="50">
        <v>13.94</v>
      </c>
      <c r="I19" s="50">
        <v>9.1300000000000008</v>
      </c>
      <c r="J19" s="50">
        <v>6.94</v>
      </c>
      <c r="K19" s="50">
        <v>8.19</v>
      </c>
      <c r="L19" s="50">
        <v>5.41</v>
      </c>
      <c r="M19" s="50">
        <v>5.7</v>
      </c>
      <c r="N19" s="50">
        <v>1.26</v>
      </c>
      <c r="O19" s="50">
        <v>0.89</v>
      </c>
      <c r="P19" s="50">
        <v>11.01</v>
      </c>
      <c r="Q19" s="50">
        <v>4.22</v>
      </c>
      <c r="R19" s="50">
        <v>13.04</v>
      </c>
      <c r="S19" s="50">
        <v>9.0500000000000007</v>
      </c>
      <c r="T19" s="50">
        <v>7.47</v>
      </c>
      <c r="U19" s="50">
        <v>6.21</v>
      </c>
      <c r="V19" s="50">
        <v>6.45</v>
      </c>
      <c r="W19" s="50">
        <v>6.08</v>
      </c>
      <c r="X19" s="50">
        <v>4.2</v>
      </c>
      <c r="Y19" s="50">
        <v>4.12</v>
      </c>
    </row>
    <row r="20" spans="1:25" x14ac:dyDescent="0.25">
      <c r="A20" s="51">
        <v>45994</v>
      </c>
      <c r="B20" s="50">
        <v>4.4000000000000004</v>
      </c>
      <c r="C20" s="50">
        <v>11.86</v>
      </c>
      <c r="D20" s="50">
        <v>13.75</v>
      </c>
      <c r="E20" s="50">
        <v>10.66</v>
      </c>
      <c r="F20" s="50">
        <v>10.81</v>
      </c>
      <c r="G20" s="50">
        <v>6.65</v>
      </c>
      <c r="H20" s="50">
        <v>3.18</v>
      </c>
      <c r="I20" s="50">
        <v>1.36</v>
      </c>
      <c r="J20" s="50">
        <v>1.37</v>
      </c>
      <c r="K20" s="50">
        <v>1.1399999999999999</v>
      </c>
      <c r="L20" s="50">
        <v>16.97</v>
      </c>
      <c r="M20" s="50">
        <v>10.1</v>
      </c>
      <c r="N20" s="50">
        <v>1.1200000000000001</v>
      </c>
      <c r="O20" s="50">
        <v>1.05</v>
      </c>
      <c r="P20" s="50">
        <v>8.1199999999999992</v>
      </c>
      <c r="Q20" s="50">
        <v>8.16</v>
      </c>
      <c r="R20" s="50">
        <v>7.32</v>
      </c>
      <c r="S20" s="50">
        <v>7.23</v>
      </c>
      <c r="T20" s="50">
        <v>8.61</v>
      </c>
      <c r="U20" s="50">
        <v>5.47</v>
      </c>
      <c r="V20" s="50">
        <v>4.95</v>
      </c>
      <c r="W20" s="50">
        <v>3.09</v>
      </c>
      <c r="X20" s="50">
        <v>1.27</v>
      </c>
      <c r="Y20" s="50">
        <v>1.92</v>
      </c>
    </row>
    <row r="21" spans="1:25" x14ac:dyDescent="0.25">
      <c r="A21" s="51">
        <v>45995</v>
      </c>
      <c r="B21" s="50">
        <v>2.17</v>
      </c>
      <c r="C21" s="50">
        <v>0.87</v>
      </c>
      <c r="D21" s="50">
        <v>0.91</v>
      </c>
      <c r="E21" s="50">
        <v>0.97</v>
      </c>
      <c r="F21" s="50">
        <v>6.4</v>
      </c>
      <c r="G21" s="50">
        <v>3.2</v>
      </c>
      <c r="H21" s="50">
        <v>4.71</v>
      </c>
      <c r="I21" s="50">
        <v>14.06</v>
      </c>
      <c r="J21" s="50">
        <v>8.32</v>
      </c>
      <c r="K21" s="50">
        <v>7.86</v>
      </c>
      <c r="L21" s="50">
        <v>7.9</v>
      </c>
      <c r="M21" s="50">
        <v>5.67</v>
      </c>
      <c r="N21" s="50">
        <v>1.6</v>
      </c>
      <c r="O21" s="50">
        <v>0.91</v>
      </c>
      <c r="P21" s="50">
        <v>14.72</v>
      </c>
      <c r="Q21" s="50">
        <v>16.98</v>
      </c>
      <c r="R21" s="50">
        <v>14.46</v>
      </c>
      <c r="S21" s="50">
        <v>13.3</v>
      </c>
      <c r="T21" s="50">
        <v>10.25</v>
      </c>
      <c r="U21" s="50">
        <v>8.2200000000000006</v>
      </c>
      <c r="V21" s="50">
        <v>14.69</v>
      </c>
      <c r="W21" s="50">
        <v>5.99</v>
      </c>
      <c r="X21" s="50">
        <v>0.74</v>
      </c>
      <c r="Y21" s="50">
        <v>0.65</v>
      </c>
    </row>
    <row r="22" spans="1:25" x14ac:dyDescent="0.25">
      <c r="A22" s="51">
        <v>45996</v>
      </c>
      <c r="B22" s="50">
        <v>0.61</v>
      </c>
      <c r="C22" s="50">
        <v>10.01</v>
      </c>
      <c r="D22" s="50">
        <v>4.17</v>
      </c>
      <c r="E22" s="50">
        <v>4.37</v>
      </c>
      <c r="F22" s="50">
        <v>11.28</v>
      </c>
      <c r="G22" s="50">
        <v>17.52</v>
      </c>
      <c r="H22" s="50">
        <v>1.43</v>
      </c>
      <c r="I22" s="50">
        <v>1.77</v>
      </c>
      <c r="J22" s="50">
        <v>1.1000000000000001</v>
      </c>
      <c r="K22" s="50">
        <v>3.6</v>
      </c>
      <c r="L22" s="50">
        <v>13.77</v>
      </c>
      <c r="M22" s="50">
        <v>9.9499999999999993</v>
      </c>
      <c r="N22" s="50">
        <v>4.49</v>
      </c>
      <c r="O22" s="50">
        <v>3.37</v>
      </c>
      <c r="P22" s="50">
        <v>14.8</v>
      </c>
      <c r="Q22" s="50">
        <v>9.14</v>
      </c>
      <c r="R22" s="50">
        <v>9.24</v>
      </c>
      <c r="S22" s="50">
        <v>8.89</v>
      </c>
      <c r="T22" s="50">
        <v>8.0399999999999991</v>
      </c>
      <c r="U22" s="50">
        <v>7.01</v>
      </c>
      <c r="V22" s="50">
        <v>6.64</v>
      </c>
      <c r="W22" s="50">
        <v>3.77</v>
      </c>
      <c r="X22" s="50">
        <v>3.02</v>
      </c>
      <c r="Y22" s="50">
        <v>2.23</v>
      </c>
    </row>
    <row r="23" spans="1:25" x14ac:dyDescent="0.25">
      <c r="A23" s="51">
        <v>45997</v>
      </c>
      <c r="B23" s="50">
        <v>2.69</v>
      </c>
      <c r="C23" s="50">
        <v>0.87</v>
      </c>
      <c r="D23" s="50">
        <v>0.96</v>
      </c>
      <c r="E23" s="50">
        <v>0.95</v>
      </c>
      <c r="F23" s="50">
        <v>13.22</v>
      </c>
      <c r="G23" s="50">
        <v>4.7699999999999996</v>
      </c>
      <c r="H23" s="50">
        <v>12.63</v>
      </c>
      <c r="I23" s="50">
        <v>10.32</v>
      </c>
      <c r="J23" s="50">
        <v>6.2</v>
      </c>
      <c r="K23" s="50">
        <v>8.2799999999999994</v>
      </c>
      <c r="L23" s="50">
        <v>5.41</v>
      </c>
      <c r="M23" s="50">
        <v>4.97</v>
      </c>
      <c r="N23" s="50">
        <v>4.96</v>
      </c>
      <c r="O23" s="50">
        <v>5.09</v>
      </c>
      <c r="P23" s="50">
        <v>11.42</v>
      </c>
      <c r="Q23" s="50">
        <v>13.94</v>
      </c>
      <c r="R23" s="50">
        <v>13.96</v>
      </c>
      <c r="S23" s="50">
        <v>16.260000000000002</v>
      </c>
      <c r="T23" s="50">
        <v>14.11</v>
      </c>
      <c r="U23" s="50">
        <v>6.13</v>
      </c>
      <c r="V23" s="50">
        <v>5.17</v>
      </c>
      <c r="W23" s="50">
        <v>1.38</v>
      </c>
      <c r="X23" s="50">
        <v>1.64</v>
      </c>
      <c r="Y23" s="50">
        <v>2.4300000000000002</v>
      </c>
    </row>
    <row r="24" spans="1:25" x14ac:dyDescent="0.25">
      <c r="A24" s="51">
        <v>45998</v>
      </c>
      <c r="B24" s="50">
        <v>5.9</v>
      </c>
      <c r="C24" s="50">
        <v>4.6500000000000004</v>
      </c>
      <c r="D24" s="50">
        <v>4.1500000000000004</v>
      </c>
      <c r="E24" s="50">
        <v>5.75</v>
      </c>
      <c r="F24" s="50">
        <v>5.39</v>
      </c>
      <c r="G24" s="50">
        <v>6.8</v>
      </c>
      <c r="H24" s="50">
        <v>12.79</v>
      </c>
      <c r="I24" s="50">
        <v>14.94</v>
      </c>
      <c r="J24" s="50">
        <v>9.56</v>
      </c>
      <c r="K24" s="50">
        <v>4.71</v>
      </c>
      <c r="L24" s="50">
        <v>6.28</v>
      </c>
      <c r="M24" s="50">
        <v>3.86</v>
      </c>
      <c r="N24" s="50">
        <v>4.71</v>
      </c>
      <c r="O24" s="50">
        <v>4.17</v>
      </c>
      <c r="P24" s="50">
        <v>1.98</v>
      </c>
      <c r="Q24" s="50">
        <v>4.42</v>
      </c>
      <c r="R24" s="50">
        <v>0.89</v>
      </c>
      <c r="S24" s="50">
        <v>0.87</v>
      </c>
      <c r="T24" s="50">
        <v>1.01</v>
      </c>
      <c r="U24" s="50">
        <v>1.22</v>
      </c>
      <c r="V24" s="50">
        <v>13.38</v>
      </c>
      <c r="W24" s="50">
        <v>6.59</v>
      </c>
      <c r="X24" s="50">
        <v>7.83</v>
      </c>
      <c r="Y24" s="50">
        <v>8.09</v>
      </c>
    </row>
    <row r="25" spans="1:25" x14ac:dyDescent="0.25">
      <c r="A25" s="51">
        <v>45999</v>
      </c>
      <c r="B25" s="50">
        <v>5.73</v>
      </c>
      <c r="C25" s="50">
        <v>4.3</v>
      </c>
      <c r="D25" s="50">
        <v>3.75</v>
      </c>
      <c r="E25" s="50">
        <v>6.17</v>
      </c>
      <c r="F25" s="50">
        <v>12.33</v>
      </c>
      <c r="G25" s="50">
        <v>8.25</v>
      </c>
      <c r="H25" s="50">
        <v>1.03</v>
      </c>
      <c r="I25" s="50">
        <v>1.1499999999999999</v>
      </c>
      <c r="J25" s="50">
        <v>2.85</v>
      </c>
      <c r="K25" s="50">
        <v>1.0900000000000001</v>
      </c>
      <c r="L25" s="50">
        <v>11.31</v>
      </c>
      <c r="M25" s="50">
        <v>17.64</v>
      </c>
      <c r="N25" s="50">
        <v>7.97</v>
      </c>
      <c r="O25" s="50">
        <v>5.26</v>
      </c>
      <c r="P25" s="50">
        <v>13.03</v>
      </c>
      <c r="Q25" s="50">
        <v>9.19</v>
      </c>
      <c r="R25" s="50">
        <v>1.1000000000000001</v>
      </c>
      <c r="S25" s="50">
        <v>1.25</v>
      </c>
      <c r="T25" s="50">
        <v>2.63</v>
      </c>
      <c r="U25" s="50">
        <v>1.38</v>
      </c>
      <c r="V25" s="50">
        <v>19.43</v>
      </c>
      <c r="W25" s="50">
        <v>5.5</v>
      </c>
      <c r="X25" s="50">
        <v>8.1999999999999993</v>
      </c>
      <c r="Y25" s="50">
        <v>8.5</v>
      </c>
    </row>
    <row r="26" spans="1:25" x14ac:dyDescent="0.25">
      <c r="A26" s="51">
        <v>46000</v>
      </c>
      <c r="B26" s="50">
        <v>9.93</v>
      </c>
      <c r="C26" s="50">
        <v>6.59</v>
      </c>
      <c r="D26" s="50">
        <v>7.67</v>
      </c>
      <c r="E26" s="50">
        <v>7.39</v>
      </c>
      <c r="F26" s="50">
        <v>10.31</v>
      </c>
      <c r="G26" s="50">
        <v>7.55</v>
      </c>
      <c r="H26" s="50">
        <v>1.39</v>
      </c>
      <c r="I26" s="50">
        <v>1.39</v>
      </c>
      <c r="J26" s="50">
        <v>1.5</v>
      </c>
      <c r="K26" s="50">
        <v>1.2</v>
      </c>
      <c r="L26" s="50">
        <v>21.35</v>
      </c>
      <c r="M26" s="50">
        <v>9.06</v>
      </c>
      <c r="N26" s="50">
        <v>11.21</v>
      </c>
      <c r="O26" s="50">
        <v>9.86</v>
      </c>
      <c r="P26" s="50">
        <v>8.0500000000000007</v>
      </c>
      <c r="Q26" s="50">
        <v>12.74</v>
      </c>
      <c r="R26" s="50">
        <v>9.89</v>
      </c>
      <c r="S26" s="50">
        <v>14.39</v>
      </c>
      <c r="T26" s="50">
        <v>8.16</v>
      </c>
      <c r="U26" s="50">
        <v>7.92</v>
      </c>
      <c r="V26" s="50">
        <v>5.79</v>
      </c>
      <c r="W26" s="50">
        <v>1.83</v>
      </c>
      <c r="X26" s="50">
        <v>5.51</v>
      </c>
      <c r="Y26" s="50">
        <v>4.46</v>
      </c>
    </row>
    <row r="27" spans="1:25" x14ac:dyDescent="0.25">
      <c r="A27" s="51">
        <v>46001</v>
      </c>
      <c r="B27" s="50">
        <v>5.09</v>
      </c>
      <c r="C27" s="50">
        <v>3</v>
      </c>
      <c r="D27" s="50">
        <v>3.33</v>
      </c>
      <c r="E27" s="50">
        <v>3.1</v>
      </c>
      <c r="F27" s="50">
        <v>10.039999999999999</v>
      </c>
      <c r="G27" s="50">
        <v>5.45</v>
      </c>
      <c r="H27" s="50">
        <v>16.02</v>
      </c>
      <c r="I27" s="50">
        <v>12.2</v>
      </c>
      <c r="J27" s="50">
        <v>7.44</v>
      </c>
      <c r="K27" s="50">
        <v>7.39</v>
      </c>
      <c r="L27" s="50">
        <v>5.8</v>
      </c>
      <c r="M27" s="50">
        <v>7.74</v>
      </c>
      <c r="N27" s="50">
        <v>6.17</v>
      </c>
      <c r="O27" s="50">
        <v>12.46</v>
      </c>
      <c r="P27" s="50">
        <v>14.06</v>
      </c>
      <c r="Q27" s="50">
        <v>15.19</v>
      </c>
      <c r="R27" s="50">
        <v>12.26</v>
      </c>
      <c r="S27" s="50">
        <v>13.6</v>
      </c>
      <c r="T27" s="50">
        <v>16.09</v>
      </c>
      <c r="U27" s="50">
        <v>13.99</v>
      </c>
      <c r="V27" s="50">
        <v>8.93</v>
      </c>
      <c r="W27" s="50">
        <v>3.8</v>
      </c>
      <c r="X27" s="50">
        <v>3.1</v>
      </c>
      <c r="Y27" s="50">
        <v>2.83</v>
      </c>
    </row>
    <row r="28" spans="1:25" x14ac:dyDescent="0.25">
      <c r="A28" s="51">
        <v>46002</v>
      </c>
      <c r="B28" s="50">
        <v>3.02</v>
      </c>
      <c r="C28" s="50">
        <v>3.13</v>
      </c>
      <c r="D28" s="50">
        <v>4.3600000000000003</v>
      </c>
      <c r="E28" s="50">
        <v>4.59</v>
      </c>
      <c r="F28" s="50">
        <v>5.09</v>
      </c>
      <c r="G28" s="50">
        <v>5.24</v>
      </c>
      <c r="H28" s="50">
        <v>13.47</v>
      </c>
      <c r="I28" s="50">
        <v>10.94</v>
      </c>
      <c r="J28" s="50">
        <v>7.65</v>
      </c>
      <c r="K28" s="50">
        <v>8.08</v>
      </c>
      <c r="L28" s="50">
        <v>5.19</v>
      </c>
      <c r="M28" s="50">
        <v>5.44</v>
      </c>
      <c r="N28" s="50">
        <v>5.68</v>
      </c>
      <c r="O28" s="50">
        <v>7.11</v>
      </c>
      <c r="P28" s="50">
        <v>8.18</v>
      </c>
      <c r="Q28" s="50">
        <v>7.06</v>
      </c>
      <c r="R28" s="50">
        <v>7.39</v>
      </c>
      <c r="S28" s="50">
        <v>13.49</v>
      </c>
      <c r="T28" s="50">
        <v>8.2200000000000006</v>
      </c>
      <c r="U28" s="50">
        <v>6.9</v>
      </c>
      <c r="V28" s="50">
        <v>7.4</v>
      </c>
      <c r="W28" s="50">
        <v>3.47</v>
      </c>
      <c r="X28" s="50">
        <v>3.13</v>
      </c>
      <c r="Y28" s="50">
        <v>3.67</v>
      </c>
    </row>
    <row r="29" spans="1:25" x14ac:dyDescent="0.25">
      <c r="A29" s="51">
        <v>46003</v>
      </c>
      <c r="B29" s="50">
        <v>3.92</v>
      </c>
      <c r="C29" s="50">
        <v>4.95</v>
      </c>
      <c r="D29" s="50">
        <v>6.91</v>
      </c>
      <c r="E29" s="50">
        <v>5.21</v>
      </c>
      <c r="F29" s="50">
        <v>5.47</v>
      </c>
      <c r="G29" s="50">
        <v>6.01</v>
      </c>
      <c r="H29" s="50">
        <v>17.739999999999998</v>
      </c>
      <c r="I29" s="50">
        <v>12.59</v>
      </c>
      <c r="J29" s="50">
        <v>10.26</v>
      </c>
      <c r="K29" s="50">
        <v>5.96</v>
      </c>
      <c r="L29" s="50">
        <v>3.89</v>
      </c>
      <c r="M29" s="50">
        <v>4.1399999999999997</v>
      </c>
      <c r="N29" s="50">
        <v>4.5199999999999996</v>
      </c>
      <c r="O29" s="50">
        <v>2.7</v>
      </c>
      <c r="P29" s="50">
        <v>5.21</v>
      </c>
      <c r="Q29" s="50">
        <v>5.45</v>
      </c>
      <c r="R29" s="50">
        <v>6.3</v>
      </c>
      <c r="S29" s="50">
        <v>7.55</v>
      </c>
      <c r="T29" s="50">
        <v>9.6300000000000008</v>
      </c>
      <c r="U29" s="50">
        <v>6.53</v>
      </c>
      <c r="V29" s="50">
        <v>5.98</v>
      </c>
      <c r="W29" s="50">
        <v>1.6</v>
      </c>
      <c r="X29" s="50">
        <v>3.26</v>
      </c>
      <c r="Y29" s="50">
        <v>5.1100000000000003</v>
      </c>
    </row>
    <row r="30" spans="1:25" x14ac:dyDescent="0.25">
      <c r="A30" s="51">
        <v>46004</v>
      </c>
      <c r="B30" s="50">
        <v>4.0999999999999996</v>
      </c>
      <c r="C30" s="50">
        <v>5.99</v>
      </c>
      <c r="D30" s="50">
        <v>5.64</v>
      </c>
      <c r="E30" s="50">
        <v>4.97</v>
      </c>
      <c r="F30" s="50">
        <v>7.35</v>
      </c>
      <c r="G30" s="50">
        <v>5.65</v>
      </c>
      <c r="H30" s="50">
        <v>13.02</v>
      </c>
      <c r="I30" s="50">
        <v>14.05</v>
      </c>
      <c r="J30" s="50">
        <v>7.8</v>
      </c>
      <c r="K30" s="50">
        <v>10.26</v>
      </c>
      <c r="L30" s="50">
        <v>7.19</v>
      </c>
      <c r="M30" s="50">
        <v>6.79</v>
      </c>
      <c r="N30" s="50">
        <v>5.73</v>
      </c>
      <c r="O30" s="50">
        <v>5.82</v>
      </c>
      <c r="P30" s="50">
        <v>4.16</v>
      </c>
      <c r="Q30" s="50">
        <v>7.33</v>
      </c>
      <c r="R30" s="50">
        <v>5.71</v>
      </c>
      <c r="S30" s="50">
        <v>7.64</v>
      </c>
      <c r="T30" s="50">
        <v>7.6</v>
      </c>
      <c r="U30" s="50">
        <v>7.07</v>
      </c>
      <c r="V30" s="50">
        <v>4.5</v>
      </c>
      <c r="W30" s="50">
        <v>3.86</v>
      </c>
      <c r="X30" s="50">
        <v>3.73</v>
      </c>
      <c r="Y30" s="50">
        <v>4.05</v>
      </c>
    </row>
    <row r="31" spans="1:25" x14ac:dyDescent="0.25">
      <c r="A31" s="51">
        <v>46005</v>
      </c>
      <c r="B31" s="50">
        <v>4.8600000000000003</v>
      </c>
      <c r="C31" s="50">
        <v>3.86</v>
      </c>
      <c r="D31" s="50">
        <v>4.34</v>
      </c>
      <c r="E31" s="50">
        <v>3.46</v>
      </c>
      <c r="F31" s="50">
        <v>3.59</v>
      </c>
      <c r="G31" s="50">
        <v>4.3899999999999997</v>
      </c>
      <c r="H31" s="50">
        <v>1.01</v>
      </c>
      <c r="I31" s="50">
        <v>1.46</v>
      </c>
      <c r="J31" s="50">
        <v>1.42</v>
      </c>
      <c r="K31" s="50">
        <v>1.26</v>
      </c>
      <c r="L31" s="50">
        <v>17.27</v>
      </c>
      <c r="M31" s="50">
        <v>2.2799999999999998</v>
      </c>
      <c r="N31" s="50">
        <v>13.08</v>
      </c>
      <c r="O31" s="50">
        <v>15.92</v>
      </c>
      <c r="P31" s="50">
        <v>10.73</v>
      </c>
      <c r="Q31" s="50">
        <v>16.41</v>
      </c>
      <c r="R31" s="50">
        <v>1.1599999999999999</v>
      </c>
      <c r="S31" s="50">
        <v>1.27</v>
      </c>
      <c r="T31" s="50">
        <v>1.83</v>
      </c>
      <c r="U31" s="50">
        <v>1.4</v>
      </c>
      <c r="V31" s="50">
        <v>21.89</v>
      </c>
      <c r="W31" s="50">
        <v>4.93</v>
      </c>
      <c r="X31" s="50">
        <v>5.14</v>
      </c>
      <c r="Y31" s="50">
        <v>4.71</v>
      </c>
    </row>
    <row r="32" spans="1:25" x14ac:dyDescent="0.25">
      <c r="A32" s="51">
        <v>46006</v>
      </c>
      <c r="B32" s="50">
        <v>4.4800000000000004</v>
      </c>
      <c r="C32" s="50">
        <v>7.06</v>
      </c>
      <c r="D32" s="50">
        <v>5.73</v>
      </c>
      <c r="E32" s="50">
        <v>5.52</v>
      </c>
      <c r="F32" s="50">
        <v>6.03</v>
      </c>
      <c r="G32" s="50">
        <v>8.33</v>
      </c>
      <c r="H32" s="50">
        <v>13.66</v>
      </c>
      <c r="I32" s="50">
        <v>14.65</v>
      </c>
      <c r="J32" s="50">
        <v>8.92</v>
      </c>
      <c r="K32" s="50">
        <v>7.27</v>
      </c>
      <c r="L32" s="50">
        <v>9.15</v>
      </c>
      <c r="M32" s="50">
        <v>5.93</v>
      </c>
      <c r="N32" s="50">
        <v>3.76</v>
      </c>
      <c r="O32" s="50">
        <v>5.61</v>
      </c>
      <c r="P32" s="50">
        <v>6.92</v>
      </c>
      <c r="Q32" s="50">
        <v>6.87</v>
      </c>
      <c r="R32" s="50">
        <v>7.64</v>
      </c>
      <c r="S32" s="50">
        <v>11.6</v>
      </c>
      <c r="T32" s="50">
        <v>8.5500000000000007</v>
      </c>
      <c r="U32" s="50">
        <v>7.04</v>
      </c>
      <c r="V32" s="50">
        <v>6.35</v>
      </c>
      <c r="W32" s="50">
        <v>1.89</v>
      </c>
      <c r="X32" s="50">
        <v>2.75</v>
      </c>
      <c r="Y32" s="50">
        <v>5.79</v>
      </c>
    </row>
    <row r="33" spans="1:25" x14ac:dyDescent="0.25">
      <c r="A33" s="51">
        <v>46007</v>
      </c>
      <c r="B33" s="50">
        <v>3.65</v>
      </c>
      <c r="C33" s="50">
        <v>3.59</v>
      </c>
      <c r="D33" s="50">
        <v>3.74</v>
      </c>
      <c r="E33" s="50">
        <v>3.99</v>
      </c>
      <c r="F33" s="50">
        <v>4</v>
      </c>
      <c r="G33" s="50">
        <v>6.95</v>
      </c>
      <c r="H33" s="50">
        <v>13.53</v>
      </c>
      <c r="I33" s="50">
        <v>11.08</v>
      </c>
      <c r="J33" s="50">
        <v>5.64</v>
      </c>
      <c r="K33" s="50">
        <v>4.21</v>
      </c>
      <c r="L33" s="50">
        <v>4.32</v>
      </c>
      <c r="M33" s="50">
        <v>6.21</v>
      </c>
      <c r="N33" s="50">
        <v>4.8</v>
      </c>
      <c r="O33" s="50">
        <v>2.71</v>
      </c>
      <c r="P33" s="50">
        <v>3.41</v>
      </c>
      <c r="Q33" s="50">
        <v>7</v>
      </c>
      <c r="R33" s="50">
        <v>8.77</v>
      </c>
      <c r="S33" s="50">
        <v>7.28</v>
      </c>
      <c r="T33" s="50">
        <v>6.35</v>
      </c>
      <c r="U33" s="50">
        <v>5.65</v>
      </c>
      <c r="V33" s="50">
        <v>4.58</v>
      </c>
      <c r="W33" s="50">
        <v>2.27</v>
      </c>
      <c r="X33" s="50">
        <v>3.39</v>
      </c>
      <c r="Y33" s="50">
        <v>2.72</v>
      </c>
    </row>
    <row r="34" spans="1:25" x14ac:dyDescent="0.25">
      <c r="A34" s="51">
        <v>46008</v>
      </c>
      <c r="B34" s="50">
        <v>2.6</v>
      </c>
      <c r="C34" s="50">
        <v>3.35</v>
      </c>
      <c r="D34" s="50">
        <v>3.39</v>
      </c>
      <c r="E34" s="50">
        <v>5.81</v>
      </c>
      <c r="F34" s="50">
        <v>3.63</v>
      </c>
      <c r="G34" s="50">
        <v>3.09</v>
      </c>
      <c r="H34" s="50">
        <v>11.59</v>
      </c>
      <c r="I34" s="50">
        <v>9.4499999999999993</v>
      </c>
      <c r="J34" s="50">
        <v>7.2</v>
      </c>
      <c r="K34" s="50">
        <v>7.43</v>
      </c>
      <c r="L34" s="50">
        <v>8.59</v>
      </c>
      <c r="M34" s="50">
        <v>5.9</v>
      </c>
      <c r="N34" s="50">
        <v>7.11</v>
      </c>
      <c r="O34" s="50">
        <v>6.38</v>
      </c>
      <c r="P34" s="50">
        <v>6.14</v>
      </c>
      <c r="Q34" s="50">
        <v>6.27</v>
      </c>
      <c r="R34" s="50">
        <v>6.7</v>
      </c>
      <c r="S34" s="50">
        <v>9.17</v>
      </c>
      <c r="T34" s="50">
        <v>5.24</v>
      </c>
      <c r="U34" s="50">
        <v>5.3</v>
      </c>
      <c r="V34" s="50">
        <v>4.87</v>
      </c>
      <c r="W34" s="50">
        <v>3.56</v>
      </c>
      <c r="X34" s="50">
        <v>1.33</v>
      </c>
      <c r="Y34" s="50">
        <v>1.93</v>
      </c>
    </row>
    <row r="35" spans="1:25" x14ac:dyDescent="0.25">
      <c r="A35" s="51">
        <v>46009</v>
      </c>
      <c r="B35" s="50">
        <v>2.4</v>
      </c>
      <c r="C35" s="50">
        <v>2.76</v>
      </c>
      <c r="D35" s="50">
        <v>3.38</v>
      </c>
      <c r="E35" s="50">
        <v>3.33</v>
      </c>
      <c r="F35" s="50">
        <v>3.37</v>
      </c>
      <c r="G35" s="50">
        <v>4.2699999999999996</v>
      </c>
      <c r="H35" s="50">
        <v>13.28</v>
      </c>
      <c r="I35" s="50">
        <v>6.93</v>
      </c>
      <c r="J35" s="50">
        <v>8.66</v>
      </c>
      <c r="K35" s="50">
        <v>3.2</v>
      </c>
      <c r="L35" s="50">
        <v>2.77</v>
      </c>
      <c r="M35" s="50">
        <v>3.66</v>
      </c>
      <c r="N35" s="50">
        <v>6.96</v>
      </c>
      <c r="O35" s="50">
        <v>13.11</v>
      </c>
      <c r="P35" s="50">
        <v>11.99</v>
      </c>
      <c r="Q35" s="50">
        <v>10.06</v>
      </c>
      <c r="R35" s="50">
        <v>9.4499999999999993</v>
      </c>
      <c r="S35" s="50">
        <v>10.44</v>
      </c>
      <c r="T35" s="50">
        <v>10.48</v>
      </c>
      <c r="U35" s="50">
        <v>9.91</v>
      </c>
      <c r="V35" s="50">
        <v>12.32</v>
      </c>
      <c r="W35" s="50">
        <v>6.81</v>
      </c>
      <c r="X35" s="50">
        <v>5.21</v>
      </c>
      <c r="Y35" s="50">
        <v>1.29</v>
      </c>
    </row>
    <row r="36" spans="1:25" x14ac:dyDescent="0.25">
      <c r="A36" s="51">
        <v>46010</v>
      </c>
      <c r="B36" s="50">
        <v>1.58</v>
      </c>
      <c r="C36" s="50">
        <v>2.5499999999999998</v>
      </c>
      <c r="D36" s="50">
        <v>2.0499999999999998</v>
      </c>
      <c r="E36" s="50">
        <v>1.89</v>
      </c>
      <c r="F36" s="50">
        <v>5.44</v>
      </c>
      <c r="G36" s="50">
        <v>2.3199999999999998</v>
      </c>
      <c r="H36" s="50">
        <v>10.91</v>
      </c>
      <c r="I36" s="50">
        <v>6.09</v>
      </c>
      <c r="J36" s="50">
        <v>5.27</v>
      </c>
      <c r="K36" s="50">
        <v>2.4900000000000002</v>
      </c>
      <c r="L36" s="50">
        <v>2.96</v>
      </c>
      <c r="M36" s="50">
        <v>3.32</v>
      </c>
      <c r="N36" s="50">
        <v>11.71</v>
      </c>
      <c r="O36" s="50">
        <v>13.11</v>
      </c>
      <c r="P36" s="50">
        <v>10.119999999999999</v>
      </c>
      <c r="Q36" s="50">
        <v>10.46</v>
      </c>
      <c r="R36" s="50">
        <v>11.43</v>
      </c>
      <c r="S36" s="50">
        <v>5.51</v>
      </c>
      <c r="T36" s="50">
        <v>5.77</v>
      </c>
      <c r="U36" s="50">
        <v>6.68</v>
      </c>
      <c r="V36" s="50">
        <v>4.75</v>
      </c>
      <c r="W36" s="50">
        <v>3.4</v>
      </c>
      <c r="X36" s="50">
        <v>4.6100000000000003</v>
      </c>
      <c r="Y36" s="50">
        <v>3.23</v>
      </c>
    </row>
    <row r="37" spans="1:25" x14ac:dyDescent="0.25">
      <c r="A37" s="51">
        <v>46011</v>
      </c>
      <c r="B37" s="50">
        <v>4.26</v>
      </c>
      <c r="C37" s="50">
        <v>3.95</v>
      </c>
      <c r="D37" s="50">
        <v>3.28</v>
      </c>
      <c r="E37" s="50">
        <v>4.05</v>
      </c>
      <c r="F37" s="50">
        <v>3.42</v>
      </c>
      <c r="G37" s="50">
        <v>6.29</v>
      </c>
      <c r="H37" s="50">
        <v>15.44</v>
      </c>
      <c r="I37" s="50">
        <v>9.1199999999999992</v>
      </c>
      <c r="J37" s="50">
        <v>5.12</v>
      </c>
      <c r="K37" s="50">
        <v>3.27</v>
      </c>
      <c r="L37" s="50">
        <v>4.58</v>
      </c>
      <c r="M37" s="50">
        <v>9.1999999999999993</v>
      </c>
      <c r="N37" s="50">
        <v>6.15</v>
      </c>
      <c r="O37" s="50">
        <v>4.6900000000000004</v>
      </c>
      <c r="P37" s="50">
        <v>4.58</v>
      </c>
      <c r="Q37" s="50">
        <v>7.98</v>
      </c>
      <c r="R37" s="50">
        <v>8.43</v>
      </c>
      <c r="S37" s="50">
        <v>9.7899999999999991</v>
      </c>
      <c r="T37" s="50">
        <v>6.74</v>
      </c>
      <c r="U37" s="50">
        <v>5.45</v>
      </c>
      <c r="V37" s="50">
        <v>4.72</v>
      </c>
      <c r="W37" s="50">
        <v>1.0900000000000001</v>
      </c>
      <c r="X37" s="50">
        <v>2.98</v>
      </c>
      <c r="Y37" s="50">
        <v>3.36</v>
      </c>
    </row>
    <row r="38" spans="1:25" x14ac:dyDescent="0.25">
      <c r="A38" s="51">
        <v>46012</v>
      </c>
      <c r="B38" s="50">
        <v>2.92</v>
      </c>
      <c r="C38" s="50">
        <v>2.8</v>
      </c>
      <c r="D38" s="50">
        <v>1.72</v>
      </c>
      <c r="E38" s="50">
        <v>1.67</v>
      </c>
      <c r="F38" s="50">
        <v>3.1</v>
      </c>
      <c r="G38" s="50">
        <v>4.03</v>
      </c>
      <c r="H38" s="50">
        <v>12.16</v>
      </c>
      <c r="I38" s="50">
        <v>5.56</v>
      </c>
      <c r="J38" s="50">
        <v>4.71</v>
      </c>
      <c r="K38" s="50">
        <v>4.41</v>
      </c>
      <c r="L38" s="50">
        <v>5.0599999999999996</v>
      </c>
      <c r="M38" s="50">
        <v>3.22</v>
      </c>
      <c r="N38" s="50">
        <v>3.29</v>
      </c>
      <c r="O38" s="50">
        <v>5.52</v>
      </c>
      <c r="P38" s="50">
        <v>5.88</v>
      </c>
      <c r="Q38" s="50">
        <v>4.8099999999999996</v>
      </c>
      <c r="R38" s="50">
        <v>4.49</v>
      </c>
      <c r="S38" s="50">
        <v>6.49</v>
      </c>
      <c r="T38" s="50">
        <v>6.2</v>
      </c>
      <c r="U38" s="50">
        <v>6.87</v>
      </c>
      <c r="V38" s="50">
        <v>4.9000000000000004</v>
      </c>
      <c r="W38" s="50">
        <v>2.04</v>
      </c>
      <c r="X38" s="50">
        <v>2.5299999999999998</v>
      </c>
      <c r="Y38" s="50">
        <v>4.5599999999999996</v>
      </c>
    </row>
    <row r="39" spans="1:25" x14ac:dyDescent="0.25">
      <c r="A39" s="51">
        <v>46013</v>
      </c>
      <c r="B39" s="50">
        <v>3.1</v>
      </c>
      <c r="C39" s="50">
        <v>3.45</v>
      </c>
      <c r="D39" s="50">
        <v>3.93</v>
      </c>
      <c r="E39" s="50">
        <v>3.4</v>
      </c>
      <c r="F39" s="50">
        <v>7.34</v>
      </c>
      <c r="G39" s="50">
        <v>4.83</v>
      </c>
      <c r="H39" s="50">
        <v>11.71</v>
      </c>
      <c r="I39" s="50">
        <v>14.93</v>
      </c>
      <c r="J39" s="50">
        <v>8.1999999999999993</v>
      </c>
      <c r="K39" s="50">
        <v>6.52</v>
      </c>
      <c r="L39" s="50">
        <v>10.44</v>
      </c>
      <c r="M39" s="50">
        <v>9.67</v>
      </c>
      <c r="N39" s="50">
        <v>6.34</v>
      </c>
      <c r="O39" s="50">
        <v>2.93</v>
      </c>
      <c r="P39" s="50">
        <v>12.59</v>
      </c>
      <c r="Q39" s="50">
        <v>7.96</v>
      </c>
      <c r="R39" s="50">
        <v>9.18</v>
      </c>
      <c r="S39" s="50">
        <v>7.53</v>
      </c>
      <c r="T39" s="50">
        <v>9.0500000000000007</v>
      </c>
      <c r="U39" s="50">
        <v>6.86</v>
      </c>
      <c r="V39" s="50">
        <v>5.5</v>
      </c>
      <c r="W39" s="50">
        <v>3.38</v>
      </c>
      <c r="X39" s="50">
        <v>6.32</v>
      </c>
      <c r="Y39" s="50">
        <v>4.04</v>
      </c>
    </row>
    <row r="40" spans="1:25" x14ac:dyDescent="0.25">
      <c r="A40" s="51">
        <v>46014</v>
      </c>
      <c r="B40" s="50">
        <v>4.57</v>
      </c>
      <c r="C40" s="50">
        <v>3.72</v>
      </c>
      <c r="D40" s="50">
        <v>3.78</v>
      </c>
      <c r="E40" s="50">
        <v>5.82</v>
      </c>
      <c r="F40" s="50">
        <v>5.55</v>
      </c>
      <c r="G40" s="50">
        <v>5.84</v>
      </c>
      <c r="H40" s="50">
        <v>14.99</v>
      </c>
      <c r="I40" s="50">
        <v>9.0500000000000007</v>
      </c>
      <c r="J40" s="50">
        <v>8.6999999999999993</v>
      </c>
      <c r="K40" s="50">
        <v>6.56</v>
      </c>
      <c r="L40" s="50">
        <v>7.22</v>
      </c>
      <c r="M40" s="50">
        <v>6.51</v>
      </c>
      <c r="N40" s="50">
        <v>7.17</v>
      </c>
      <c r="O40" s="50">
        <v>7.73</v>
      </c>
      <c r="P40" s="50">
        <v>10.95</v>
      </c>
      <c r="Q40" s="50">
        <v>9.3699999999999992</v>
      </c>
      <c r="R40" s="50">
        <v>7.7</v>
      </c>
      <c r="S40" s="50">
        <v>7.24</v>
      </c>
      <c r="T40" s="50">
        <v>10.07</v>
      </c>
      <c r="U40" s="50">
        <v>6.99</v>
      </c>
      <c r="V40" s="50">
        <v>9.4499999999999993</v>
      </c>
      <c r="W40" s="50">
        <v>3.29</v>
      </c>
      <c r="X40" s="50">
        <v>3.19</v>
      </c>
      <c r="Y40" s="50">
        <v>3.39</v>
      </c>
    </row>
    <row r="41" spans="1:25" x14ac:dyDescent="0.25">
      <c r="A41" s="51">
        <v>46015</v>
      </c>
      <c r="B41" s="50">
        <v>2.85</v>
      </c>
      <c r="C41" s="50">
        <v>2.52</v>
      </c>
      <c r="D41" s="50">
        <v>4.57</v>
      </c>
      <c r="E41" s="50">
        <v>3.25</v>
      </c>
      <c r="F41" s="50">
        <v>4.57</v>
      </c>
      <c r="G41" s="50">
        <v>3.91</v>
      </c>
      <c r="H41" s="50">
        <v>11</v>
      </c>
      <c r="I41" s="50">
        <v>12.25</v>
      </c>
      <c r="J41" s="50">
        <v>10.36</v>
      </c>
      <c r="K41" s="50">
        <v>6.58</v>
      </c>
      <c r="L41" s="50">
        <v>5.07</v>
      </c>
      <c r="M41" s="50">
        <v>4.71</v>
      </c>
      <c r="N41" s="50">
        <v>4.1399999999999997</v>
      </c>
      <c r="O41" s="50">
        <v>3.63</v>
      </c>
      <c r="P41" s="50">
        <v>4.46</v>
      </c>
      <c r="Q41" s="50">
        <v>9.16</v>
      </c>
      <c r="R41" s="50">
        <v>7.37</v>
      </c>
      <c r="S41" s="50">
        <v>15.41</v>
      </c>
      <c r="T41" s="50">
        <v>7.74</v>
      </c>
      <c r="U41" s="50">
        <v>5.82</v>
      </c>
      <c r="V41" s="50">
        <v>6.9</v>
      </c>
      <c r="W41" s="50">
        <v>2.62</v>
      </c>
      <c r="X41" s="50">
        <v>5.53</v>
      </c>
      <c r="Y41" s="50">
        <v>4.33</v>
      </c>
    </row>
    <row r="42" spans="1:25" x14ac:dyDescent="0.25">
      <c r="A42" s="51">
        <v>46016</v>
      </c>
      <c r="B42" s="50">
        <v>4.17</v>
      </c>
      <c r="C42" s="50">
        <v>4.26</v>
      </c>
      <c r="D42" s="50">
        <v>4.1399999999999997</v>
      </c>
      <c r="E42" s="50">
        <v>4.7699999999999996</v>
      </c>
      <c r="F42" s="50">
        <v>4.67</v>
      </c>
      <c r="G42" s="50">
        <v>3.71</v>
      </c>
      <c r="H42" s="50">
        <v>14.77</v>
      </c>
      <c r="I42" s="50">
        <v>7.54</v>
      </c>
      <c r="J42" s="50">
        <v>11.86</v>
      </c>
      <c r="K42" s="50">
        <v>9.3699999999999992</v>
      </c>
      <c r="L42" s="50">
        <v>3.67</v>
      </c>
      <c r="M42" s="50">
        <v>3.43</v>
      </c>
      <c r="N42" s="50">
        <v>1.32</v>
      </c>
      <c r="O42" s="50">
        <v>1.36</v>
      </c>
      <c r="P42" s="50">
        <v>2.72</v>
      </c>
      <c r="Q42" s="50">
        <v>12.16</v>
      </c>
      <c r="R42" s="50">
        <v>5.4</v>
      </c>
      <c r="S42" s="50">
        <v>10.32</v>
      </c>
      <c r="T42" s="50">
        <v>15.13</v>
      </c>
      <c r="U42" s="50">
        <v>18.25</v>
      </c>
      <c r="V42" s="50">
        <v>19.27</v>
      </c>
      <c r="W42" s="50">
        <v>13.55</v>
      </c>
      <c r="X42" s="50">
        <v>12.58</v>
      </c>
      <c r="Y42" s="50">
        <v>8.73</v>
      </c>
    </row>
    <row r="43" spans="1:25" x14ac:dyDescent="0.25">
      <c r="A43" s="51">
        <v>46017</v>
      </c>
      <c r="B43" s="50">
        <v>8.61</v>
      </c>
      <c r="C43" s="50">
        <v>4.58</v>
      </c>
      <c r="D43" s="50">
        <v>4.8499999999999996</v>
      </c>
      <c r="E43" s="50">
        <v>5.0599999999999996</v>
      </c>
      <c r="F43" s="50">
        <v>13.6</v>
      </c>
      <c r="G43" s="50">
        <v>9.6999999999999993</v>
      </c>
      <c r="H43" s="50">
        <v>16.02</v>
      </c>
      <c r="I43" s="50">
        <v>15.31</v>
      </c>
      <c r="J43" s="50">
        <v>12.97</v>
      </c>
      <c r="K43" s="50">
        <v>10.64</v>
      </c>
      <c r="L43" s="50">
        <v>6.63</v>
      </c>
      <c r="M43" s="50">
        <v>8.83</v>
      </c>
      <c r="N43" s="50">
        <v>8.41</v>
      </c>
      <c r="O43" s="50">
        <v>11.07</v>
      </c>
      <c r="P43" s="50">
        <v>7.96</v>
      </c>
      <c r="Q43" s="50">
        <v>8.01</v>
      </c>
      <c r="R43" s="50">
        <v>11</v>
      </c>
      <c r="S43" s="50">
        <v>13.35</v>
      </c>
      <c r="T43" s="50">
        <v>10.77</v>
      </c>
      <c r="U43" s="50">
        <v>7.89</v>
      </c>
      <c r="V43" s="50">
        <v>10.77</v>
      </c>
      <c r="W43" s="50">
        <v>4.7</v>
      </c>
      <c r="X43" s="50">
        <v>4.63</v>
      </c>
      <c r="Y43" s="50">
        <v>5.52</v>
      </c>
    </row>
    <row r="44" spans="1:25" x14ac:dyDescent="0.25">
      <c r="A44" s="51">
        <v>46018</v>
      </c>
      <c r="B44" s="50">
        <v>5.88</v>
      </c>
      <c r="C44" s="50">
        <v>5.61</v>
      </c>
      <c r="D44" s="50">
        <v>4.07</v>
      </c>
      <c r="E44" s="50">
        <v>4.67</v>
      </c>
      <c r="F44" s="50">
        <v>7.92</v>
      </c>
      <c r="G44" s="50">
        <v>7.4</v>
      </c>
      <c r="H44" s="50">
        <v>15.21</v>
      </c>
      <c r="I44" s="50">
        <v>15.66</v>
      </c>
      <c r="J44" s="50">
        <v>5.59</v>
      </c>
      <c r="K44" s="50">
        <v>2.82</v>
      </c>
      <c r="L44" s="50">
        <v>5.15</v>
      </c>
      <c r="M44" s="50">
        <v>4.32</v>
      </c>
      <c r="N44" s="50">
        <v>3.37</v>
      </c>
      <c r="O44" s="50">
        <v>2.1800000000000002</v>
      </c>
      <c r="P44" s="50">
        <v>6.06</v>
      </c>
      <c r="Q44" s="50">
        <v>6.84</v>
      </c>
      <c r="R44" s="50">
        <v>5.51</v>
      </c>
      <c r="S44" s="50">
        <v>8.64</v>
      </c>
      <c r="T44" s="50">
        <v>6.69</v>
      </c>
      <c r="U44" s="50">
        <v>7.77</v>
      </c>
      <c r="V44" s="50">
        <v>7.83</v>
      </c>
      <c r="W44" s="50">
        <v>3.52</v>
      </c>
      <c r="X44" s="50">
        <v>4.78</v>
      </c>
      <c r="Y44" s="50">
        <v>4.63</v>
      </c>
    </row>
    <row r="45" spans="1:25" x14ac:dyDescent="0.25">
      <c r="A45" s="51">
        <v>46019</v>
      </c>
      <c r="B45" s="50">
        <v>7.74</v>
      </c>
      <c r="C45" s="50">
        <v>4.3</v>
      </c>
      <c r="D45" s="50">
        <v>4.16</v>
      </c>
      <c r="E45" s="50">
        <v>4.45</v>
      </c>
      <c r="F45" s="50">
        <v>11.75</v>
      </c>
      <c r="G45" s="50">
        <v>9.17</v>
      </c>
      <c r="H45" s="50">
        <v>15.8</v>
      </c>
      <c r="I45" s="50">
        <v>13.44</v>
      </c>
      <c r="J45" s="50">
        <v>10.11</v>
      </c>
      <c r="K45" s="50">
        <v>6.57</v>
      </c>
      <c r="L45" s="50">
        <v>5.2</v>
      </c>
      <c r="M45" s="50">
        <v>3.99</v>
      </c>
      <c r="N45" s="50">
        <v>2.69</v>
      </c>
      <c r="O45" s="50">
        <v>6.48</v>
      </c>
      <c r="P45" s="50">
        <v>15.72</v>
      </c>
      <c r="Q45" s="50">
        <v>13.21</v>
      </c>
      <c r="R45" s="50">
        <v>13.92</v>
      </c>
      <c r="S45" s="50">
        <v>9.08</v>
      </c>
      <c r="T45" s="50">
        <v>6.99</v>
      </c>
      <c r="U45" s="50">
        <v>8.25</v>
      </c>
      <c r="V45" s="50">
        <v>6.03</v>
      </c>
      <c r="W45" s="50">
        <v>3.57</v>
      </c>
      <c r="X45" s="50">
        <v>3.88</v>
      </c>
      <c r="Y45" s="50">
        <v>4.33</v>
      </c>
    </row>
    <row r="46" spans="1:25" x14ac:dyDescent="0.25">
      <c r="A46" s="51">
        <v>46020</v>
      </c>
      <c r="B46" s="50">
        <v>5.42</v>
      </c>
      <c r="C46" s="50">
        <v>3.49</v>
      </c>
      <c r="D46" s="50">
        <v>3.6</v>
      </c>
      <c r="E46" s="50">
        <v>3.24</v>
      </c>
      <c r="F46" s="50">
        <v>4.79</v>
      </c>
      <c r="G46" s="50">
        <v>5.73</v>
      </c>
      <c r="H46" s="50">
        <v>14.3</v>
      </c>
      <c r="I46" s="50">
        <v>8.3699999999999992</v>
      </c>
      <c r="J46" s="50">
        <v>7.05</v>
      </c>
      <c r="K46" s="50">
        <v>5.53</v>
      </c>
      <c r="L46" s="50">
        <v>6.31</v>
      </c>
      <c r="M46" s="50">
        <v>5.91</v>
      </c>
      <c r="N46" s="50">
        <v>4.96</v>
      </c>
      <c r="O46" s="50">
        <v>4.21</v>
      </c>
      <c r="P46" s="50">
        <v>7.36</v>
      </c>
      <c r="Q46" s="50">
        <v>4.97</v>
      </c>
      <c r="R46" s="50">
        <v>3.87</v>
      </c>
      <c r="S46" s="50">
        <v>7.21</v>
      </c>
      <c r="T46" s="50">
        <v>5.67</v>
      </c>
      <c r="U46" s="50">
        <v>7.8</v>
      </c>
      <c r="V46" s="50">
        <v>7.92</v>
      </c>
      <c r="W46" s="50">
        <v>4.6900000000000004</v>
      </c>
      <c r="X46" s="50">
        <v>3.66</v>
      </c>
      <c r="Y46" s="50">
        <v>3.36</v>
      </c>
    </row>
    <row r="47" spans="1:25" x14ac:dyDescent="0.25">
      <c r="A47" s="51">
        <v>46021</v>
      </c>
      <c r="B47" s="50">
        <v>5.77</v>
      </c>
      <c r="C47" s="50">
        <v>3.99</v>
      </c>
      <c r="D47" s="50">
        <v>4.0199999999999996</v>
      </c>
      <c r="E47" s="50">
        <v>3.49</v>
      </c>
      <c r="F47" s="50">
        <v>6.83</v>
      </c>
      <c r="G47" s="50">
        <v>5.32</v>
      </c>
      <c r="H47" s="50">
        <v>11.35</v>
      </c>
      <c r="I47" s="50">
        <v>13.74</v>
      </c>
      <c r="J47" s="50">
        <v>13.48</v>
      </c>
      <c r="K47" s="50">
        <v>7.62</v>
      </c>
      <c r="L47" s="50">
        <v>6.63</v>
      </c>
      <c r="M47" s="50">
        <v>8.5399999999999991</v>
      </c>
      <c r="N47" s="50">
        <v>9.01</v>
      </c>
      <c r="O47" s="50">
        <v>5.94</v>
      </c>
      <c r="P47" s="50">
        <v>7.47</v>
      </c>
      <c r="Q47" s="50">
        <v>7.06</v>
      </c>
      <c r="R47" s="50">
        <v>11.24</v>
      </c>
      <c r="S47" s="50">
        <v>11.41</v>
      </c>
      <c r="T47" s="50">
        <v>11.68</v>
      </c>
      <c r="U47" s="50">
        <v>9.81</v>
      </c>
      <c r="V47" s="50">
        <v>9.2799999999999994</v>
      </c>
      <c r="W47" s="50">
        <v>2.9</v>
      </c>
      <c r="X47" s="50">
        <v>4.22</v>
      </c>
      <c r="Y47" s="50">
        <v>7.27</v>
      </c>
    </row>
    <row r="48" spans="1:25" x14ac:dyDescent="0.25">
      <c r="A48" s="51">
        <v>46022</v>
      </c>
      <c r="B48" s="50">
        <v>4.8</v>
      </c>
      <c r="C48" s="50">
        <v>4.83</v>
      </c>
      <c r="D48" s="50">
        <v>4.04</v>
      </c>
      <c r="E48" s="50">
        <v>7.25</v>
      </c>
      <c r="F48" s="50">
        <v>11.68</v>
      </c>
      <c r="G48" s="50">
        <v>6.71</v>
      </c>
      <c r="H48" s="50">
        <v>12.97</v>
      </c>
      <c r="I48" s="50">
        <v>20.88</v>
      </c>
      <c r="J48" s="50">
        <v>6.02</v>
      </c>
      <c r="K48" s="50">
        <v>5.82</v>
      </c>
      <c r="L48" s="50">
        <v>5.71</v>
      </c>
      <c r="M48" s="50">
        <v>5.87</v>
      </c>
      <c r="N48" s="50">
        <v>4.1900000000000004</v>
      </c>
      <c r="O48" s="50">
        <v>5.58</v>
      </c>
      <c r="P48" s="50">
        <v>5.04</v>
      </c>
      <c r="Q48" s="50">
        <v>5.54</v>
      </c>
      <c r="R48" s="50">
        <v>5.76</v>
      </c>
      <c r="S48" s="50">
        <v>9.51</v>
      </c>
      <c r="T48" s="50">
        <v>8.09</v>
      </c>
      <c r="U48" s="50">
        <v>7.56</v>
      </c>
      <c r="V48" s="50">
        <v>6.75</v>
      </c>
      <c r="W48" s="50">
        <v>3.4</v>
      </c>
      <c r="X48" s="50">
        <v>4.38</v>
      </c>
      <c r="Y48" s="50">
        <v>2.98</v>
      </c>
    </row>
    <row r="49" spans="1:25" x14ac:dyDescent="0.25">
      <c r="A49" s="51">
        <v>46023</v>
      </c>
      <c r="B49" s="50">
        <v>3.56</v>
      </c>
      <c r="C49" s="50">
        <v>3.51</v>
      </c>
      <c r="D49" s="50">
        <v>5.15</v>
      </c>
      <c r="E49" s="50">
        <v>4.46</v>
      </c>
      <c r="F49" s="50">
        <v>5.78</v>
      </c>
      <c r="G49" s="50">
        <v>7.05</v>
      </c>
      <c r="H49" s="50">
        <v>18.14</v>
      </c>
      <c r="I49" s="50">
        <v>13.36</v>
      </c>
      <c r="J49" s="50">
        <v>7.37</v>
      </c>
      <c r="K49" s="50">
        <v>5.43</v>
      </c>
      <c r="L49" s="50">
        <v>5.39</v>
      </c>
      <c r="M49" s="50">
        <v>4.99</v>
      </c>
      <c r="N49" s="50">
        <v>2.78</v>
      </c>
      <c r="O49" s="50">
        <v>6.46</v>
      </c>
      <c r="P49" s="50">
        <v>7.47</v>
      </c>
      <c r="Q49" s="50">
        <v>8.1999999999999993</v>
      </c>
      <c r="R49" s="50">
        <v>8.48</v>
      </c>
      <c r="S49" s="50">
        <v>11.31</v>
      </c>
      <c r="T49" s="50">
        <v>13.65</v>
      </c>
      <c r="U49" s="50">
        <v>12.81</v>
      </c>
      <c r="V49" s="50">
        <v>13.76</v>
      </c>
      <c r="W49" s="50">
        <v>7.69</v>
      </c>
      <c r="X49" s="50">
        <v>6.17</v>
      </c>
      <c r="Y49" s="50">
        <v>8.51</v>
      </c>
    </row>
    <row r="50" spans="1:25" x14ac:dyDescent="0.25">
      <c r="A50" s="51">
        <v>46024</v>
      </c>
      <c r="B50" s="50">
        <v>9.5</v>
      </c>
      <c r="C50" s="50">
        <v>6.42</v>
      </c>
      <c r="D50" s="50">
        <v>7.98</v>
      </c>
      <c r="E50" s="50">
        <v>9.4499999999999993</v>
      </c>
      <c r="F50" s="50">
        <v>10.4</v>
      </c>
      <c r="G50" s="50">
        <v>15.61</v>
      </c>
      <c r="H50" s="50">
        <v>16.690000000000001</v>
      </c>
      <c r="I50" s="50">
        <v>17.11</v>
      </c>
      <c r="J50" s="50">
        <v>16.14</v>
      </c>
      <c r="K50" s="50">
        <v>10.54</v>
      </c>
      <c r="L50" s="50">
        <v>9.99</v>
      </c>
      <c r="M50" s="50">
        <v>10.55</v>
      </c>
      <c r="N50" s="50">
        <v>5.46</v>
      </c>
      <c r="O50" s="50">
        <v>4.9000000000000004</v>
      </c>
      <c r="P50" s="50">
        <v>8.6300000000000008</v>
      </c>
      <c r="Q50" s="50">
        <v>7.9</v>
      </c>
      <c r="R50" s="50">
        <v>7.07</v>
      </c>
      <c r="S50" s="50">
        <v>11.46</v>
      </c>
      <c r="T50" s="50">
        <v>7.2</v>
      </c>
      <c r="U50" s="50">
        <v>7.98</v>
      </c>
      <c r="V50" s="50">
        <v>5.71</v>
      </c>
      <c r="W50" s="50">
        <v>3.04</v>
      </c>
      <c r="X50" s="50">
        <v>3.88</v>
      </c>
      <c r="Y50" s="50">
        <v>3.35</v>
      </c>
    </row>
    <row r="51" spans="1:25" x14ac:dyDescent="0.25">
      <c r="A51" s="51">
        <v>46025</v>
      </c>
      <c r="B51" s="50">
        <v>5.59</v>
      </c>
      <c r="C51" s="50">
        <v>3.93</v>
      </c>
      <c r="D51" s="50">
        <v>4.29</v>
      </c>
      <c r="E51" s="50">
        <v>3.95</v>
      </c>
      <c r="F51" s="50">
        <v>9.67</v>
      </c>
      <c r="G51" s="50">
        <v>7.51</v>
      </c>
      <c r="H51" s="50">
        <v>12.8</v>
      </c>
      <c r="I51" s="50">
        <v>13.83</v>
      </c>
      <c r="J51" s="50">
        <v>13.4</v>
      </c>
      <c r="K51" s="50">
        <v>7.36</v>
      </c>
      <c r="L51" s="50">
        <v>7.76</v>
      </c>
      <c r="M51" s="50">
        <v>13.71</v>
      </c>
      <c r="N51" s="50">
        <v>9.8699999999999992</v>
      </c>
      <c r="O51" s="50">
        <v>10.62</v>
      </c>
      <c r="P51" s="50">
        <v>6.16</v>
      </c>
      <c r="Q51" s="50">
        <v>5.88</v>
      </c>
      <c r="R51" s="50">
        <v>8.8000000000000007</v>
      </c>
      <c r="S51" s="50">
        <v>14.38</v>
      </c>
      <c r="T51" s="50">
        <v>11.43</v>
      </c>
      <c r="U51" s="50">
        <v>12.29</v>
      </c>
      <c r="V51" s="50">
        <v>9.74</v>
      </c>
      <c r="W51" s="50">
        <v>3.92</v>
      </c>
      <c r="X51" s="50">
        <v>5.83</v>
      </c>
      <c r="Y51" s="50">
        <v>4.3499999999999996</v>
      </c>
    </row>
    <row r="52" spans="1:25" x14ac:dyDescent="0.25">
      <c r="A52" s="51">
        <v>46026</v>
      </c>
      <c r="B52" s="50">
        <v>4.4800000000000004</v>
      </c>
      <c r="C52" s="50">
        <v>4.03</v>
      </c>
      <c r="D52" s="50">
        <v>6.36</v>
      </c>
      <c r="E52" s="50">
        <v>5.46</v>
      </c>
      <c r="F52" s="50">
        <v>8.2799999999999994</v>
      </c>
      <c r="G52" s="50">
        <v>6.45</v>
      </c>
      <c r="H52" s="50">
        <v>14.37</v>
      </c>
      <c r="I52" s="50">
        <v>15.2</v>
      </c>
      <c r="J52" s="50">
        <v>10.65</v>
      </c>
      <c r="K52" s="50">
        <v>6.31</v>
      </c>
      <c r="L52" s="50">
        <v>5.84</v>
      </c>
      <c r="M52" s="50">
        <v>7.83</v>
      </c>
      <c r="N52" s="50">
        <v>15.99</v>
      </c>
      <c r="O52" s="50">
        <v>7.55</v>
      </c>
      <c r="P52" s="50">
        <v>7.6</v>
      </c>
      <c r="Q52" s="50">
        <v>12.82</v>
      </c>
      <c r="R52" s="50">
        <v>3.2</v>
      </c>
      <c r="S52" s="50">
        <v>5.71</v>
      </c>
      <c r="T52" s="50">
        <v>2.78</v>
      </c>
      <c r="U52" s="50">
        <v>1.4</v>
      </c>
      <c r="V52" s="50">
        <v>18.87</v>
      </c>
      <c r="W52" s="50">
        <v>17.489999999999998</v>
      </c>
      <c r="X52" s="50">
        <v>15.63</v>
      </c>
      <c r="Y52" s="50">
        <v>16.670000000000002</v>
      </c>
    </row>
    <row r="53" spans="1:25" x14ac:dyDescent="0.25">
      <c r="A53" s="51">
        <v>46027</v>
      </c>
      <c r="B53" s="50">
        <v>12.09</v>
      </c>
      <c r="C53" s="50">
        <v>16.850000000000001</v>
      </c>
      <c r="D53" s="50">
        <v>8.27</v>
      </c>
      <c r="E53" s="50">
        <v>5.36</v>
      </c>
      <c r="F53" s="50">
        <v>9.26</v>
      </c>
      <c r="G53" s="50">
        <v>13.32</v>
      </c>
      <c r="H53" s="50">
        <v>0.97</v>
      </c>
      <c r="I53" s="50">
        <v>1.88</v>
      </c>
      <c r="J53" s="50">
        <v>1.62</v>
      </c>
      <c r="K53" s="50">
        <v>1.1399999999999999</v>
      </c>
      <c r="L53" s="50">
        <v>16.190000000000001</v>
      </c>
      <c r="M53" s="50">
        <v>13.57</v>
      </c>
      <c r="N53" s="50">
        <v>19.399999999999999</v>
      </c>
      <c r="O53" s="50">
        <v>2.25</v>
      </c>
      <c r="P53" s="50">
        <v>12.05</v>
      </c>
      <c r="Q53" s="50">
        <v>15.2</v>
      </c>
      <c r="R53" s="50">
        <v>1.8</v>
      </c>
      <c r="S53" s="50">
        <v>1.34</v>
      </c>
      <c r="T53" s="50">
        <v>3.66</v>
      </c>
      <c r="U53" s="50">
        <v>1.56</v>
      </c>
      <c r="V53" s="50">
        <v>18.71</v>
      </c>
      <c r="W53" s="50">
        <v>2.83</v>
      </c>
      <c r="X53" s="50">
        <v>4.1100000000000003</v>
      </c>
      <c r="Y53" s="50">
        <v>5.86</v>
      </c>
    </row>
    <row r="54" spans="1:25" x14ac:dyDescent="0.25">
      <c r="A54" s="51">
        <v>46028</v>
      </c>
      <c r="B54" s="50">
        <v>6.79</v>
      </c>
      <c r="C54" s="50">
        <v>3.54</v>
      </c>
      <c r="D54" s="50">
        <v>4.07</v>
      </c>
      <c r="E54" s="50">
        <v>5.0199999999999996</v>
      </c>
      <c r="F54" s="50">
        <v>11</v>
      </c>
      <c r="G54" s="50">
        <v>13.55</v>
      </c>
      <c r="H54" s="50">
        <v>11.09</v>
      </c>
      <c r="I54" s="50">
        <v>11.72</v>
      </c>
      <c r="J54" s="50">
        <v>12.06</v>
      </c>
      <c r="K54" s="50">
        <v>12.3</v>
      </c>
      <c r="L54" s="50">
        <v>10.88</v>
      </c>
      <c r="M54" s="50">
        <v>6.18</v>
      </c>
      <c r="N54" s="50">
        <v>8.51</v>
      </c>
      <c r="O54" s="50">
        <v>9.15</v>
      </c>
      <c r="P54" s="50">
        <v>8.44</v>
      </c>
      <c r="Q54" s="50">
        <v>16.71</v>
      </c>
      <c r="R54" s="50">
        <v>8.9</v>
      </c>
      <c r="S54" s="50">
        <v>11.25</v>
      </c>
      <c r="T54" s="50">
        <v>10.96</v>
      </c>
      <c r="U54" s="50">
        <v>7.93</v>
      </c>
      <c r="V54" s="50">
        <v>9.14</v>
      </c>
      <c r="W54" s="50">
        <v>1.74</v>
      </c>
      <c r="X54" s="50">
        <v>3.32</v>
      </c>
      <c r="Y54" s="50">
        <v>3.69</v>
      </c>
    </row>
    <row r="55" spans="1:25" x14ac:dyDescent="0.25">
      <c r="A55" s="51">
        <v>46029</v>
      </c>
      <c r="B55" s="50">
        <v>5.55</v>
      </c>
      <c r="C55" s="50">
        <v>2.85</v>
      </c>
      <c r="D55" s="50">
        <v>3.04</v>
      </c>
      <c r="E55" s="50">
        <v>4</v>
      </c>
      <c r="F55" s="50">
        <v>9.4700000000000006</v>
      </c>
      <c r="G55" s="50">
        <v>6.7</v>
      </c>
      <c r="H55" s="50">
        <v>7.59</v>
      </c>
      <c r="I55" s="50">
        <v>10.029999999999999</v>
      </c>
      <c r="J55" s="50">
        <v>6.11</v>
      </c>
      <c r="K55" s="50">
        <v>7.73</v>
      </c>
      <c r="L55" s="50">
        <v>7.2</v>
      </c>
      <c r="M55" s="50">
        <v>6.04</v>
      </c>
      <c r="N55" s="50">
        <v>3.08</v>
      </c>
      <c r="O55" s="50">
        <v>3.73</v>
      </c>
      <c r="P55" s="50">
        <v>5.68</v>
      </c>
      <c r="Q55" s="50">
        <v>6.59</v>
      </c>
      <c r="R55" s="50">
        <v>7.41</v>
      </c>
      <c r="S55" s="50">
        <v>8.09</v>
      </c>
      <c r="T55" s="50">
        <v>6.49</v>
      </c>
      <c r="U55" s="50">
        <v>5.99</v>
      </c>
      <c r="V55" s="50">
        <v>4.71</v>
      </c>
      <c r="W55" s="50">
        <v>1.21</v>
      </c>
      <c r="X55" s="50">
        <v>1.55</v>
      </c>
      <c r="Y55" s="50">
        <v>3.52</v>
      </c>
    </row>
    <row r="56" spans="1:25" x14ac:dyDescent="0.25">
      <c r="A56" s="51">
        <v>46030</v>
      </c>
      <c r="B56" s="50">
        <v>2.34</v>
      </c>
      <c r="C56" s="50">
        <v>1.62</v>
      </c>
      <c r="D56" s="50">
        <v>1.83</v>
      </c>
      <c r="E56" s="50">
        <v>2.19</v>
      </c>
      <c r="F56" s="50">
        <v>5.89</v>
      </c>
      <c r="G56" s="50">
        <v>4.6399999999999997</v>
      </c>
      <c r="H56" s="50">
        <v>5.78</v>
      </c>
      <c r="I56" s="50">
        <v>8.9499999999999993</v>
      </c>
      <c r="J56" s="50">
        <v>5.8</v>
      </c>
      <c r="K56" s="50">
        <v>6.14</v>
      </c>
      <c r="L56" s="50">
        <v>5.24</v>
      </c>
      <c r="M56" s="50">
        <v>5.5</v>
      </c>
      <c r="N56" s="50">
        <v>3.39</v>
      </c>
      <c r="O56" s="50">
        <v>3.99</v>
      </c>
      <c r="P56" s="50">
        <v>3.58</v>
      </c>
      <c r="Q56" s="50">
        <v>6.15</v>
      </c>
      <c r="R56" s="50">
        <v>10.47</v>
      </c>
      <c r="S56" s="50">
        <v>13.54</v>
      </c>
      <c r="T56" s="50">
        <v>13.48</v>
      </c>
      <c r="U56" s="50">
        <v>8.33</v>
      </c>
      <c r="V56" s="50">
        <v>5.0199999999999996</v>
      </c>
      <c r="W56" s="50">
        <v>1.08</v>
      </c>
      <c r="X56" s="50">
        <v>1.96</v>
      </c>
      <c r="Y56" s="50">
        <v>2.5099999999999998</v>
      </c>
    </row>
    <row r="57" spans="1:25" x14ac:dyDescent="0.25">
      <c r="A57" s="51">
        <v>46031</v>
      </c>
      <c r="B57" s="50">
        <v>1.79</v>
      </c>
      <c r="C57" s="50">
        <v>1.79</v>
      </c>
      <c r="D57" s="50">
        <v>2.1</v>
      </c>
      <c r="E57" s="50">
        <v>2.23</v>
      </c>
      <c r="F57" s="50">
        <v>5.22</v>
      </c>
      <c r="G57" s="50">
        <v>4.9400000000000004</v>
      </c>
      <c r="H57" s="50">
        <v>9.25</v>
      </c>
      <c r="I57" s="50">
        <v>11.53</v>
      </c>
      <c r="J57" s="50">
        <v>7.78</v>
      </c>
      <c r="K57" s="50">
        <v>5.0999999999999996</v>
      </c>
      <c r="L57" s="50">
        <v>5.35</v>
      </c>
      <c r="M57" s="50">
        <v>7.07</v>
      </c>
      <c r="N57" s="50">
        <v>4.9400000000000004</v>
      </c>
      <c r="O57" s="50">
        <v>4.8</v>
      </c>
      <c r="P57" s="50">
        <v>6.95</v>
      </c>
      <c r="Q57" s="50">
        <v>5.79</v>
      </c>
      <c r="R57" s="50">
        <v>5.96</v>
      </c>
      <c r="S57" s="50">
        <v>13.56</v>
      </c>
      <c r="T57" s="50">
        <v>14.34</v>
      </c>
      <c r="U57" s="50">
        <v>12.83</v>
      </c>
      <c r="V57" s="50">
        <v>4.58</v>
      </c>
      <c r="W57" s="50">
        <v>0.95</v>
      </c>
      <c r="X57" s="50">
        <v>2.9</v>
      </c>
      <c r="Y57" s="50">
        <v>0.93</v>
      </c>
    </row>
    <row r="58" spans="1:25" x14ac:dyDescent="0.25">
      <c r="A58" s="51">
        <v>46032</v>
      </c>
      <c r="B58" s="50">
        <v>1.7</v>
      </c>
      <c r="C58" s="50">
        <v>1.65</v>
      </c>
      <c r="D58" s="50">
        <v>2.02</v>
      </c>
      <c r="E58" s="50">
        <v>1.77</v>
      </c>
      <c r="F58" s="50">
        <v>4.03</v>
      </c>
      <c r="G58" s="50">
        <v>3.72</v>
      </c>
      <c r="H58" s="50">
        <v>5.67</v>
      </c>
      <c r="I58" s="50">
        <v>7.3</v>
      </c>
      <c r="J58" s="50">
        <v>8.25</v>
      </c>
      <c r="K58" s="50">
        <v>3.66</v>
      </c>
      <c r="L58" s="50">
        <v>3.4</v>
      </c>
      <c r="M58" s="50">
        <v>5.79</v>
      </c>
      <c r="N58" s="50">
        <v>4.17</v>
      </c>
      <c r="O58" s="50">
        <v>2.87</v>
      </c>
      <c r="P58" s="50">
        <v>2.81</v>
      </c>
      <c r="Q58" s="50">
        <v>3.98</v>
      </c>
      <c r="R58" s="50">
        <v>7.24</v>
      </c>
      <c r="S58" s="50">
        <v>13.28</v>
      </c>
      <c r="T58" s="50">
        <v>16.95</v>
      </c>
      <c r="U58" s="50">
        <v>14.94</v>
      </c>
      <c r="V58" s="50">
        <v>11.42</v>
      </c>
      <c r="W58" s="50">
        <v>2.95</v>
      </c>
      <c r="X58" s="50">
        <v>3.43</v>
      </c>
      <c r="Y58" s="50">
        <v>2.91</v>
      </c>
    </row>
    <row r="59" spans="1:25" x14ac:dyDescent="0.25">
      <c r="A59" s="51">
        <v>46033</v>
      </c>
      <c r="B59" s="50">
        <v>4.08</v>
      </c>
      <c r="C59" s="50">
        <v>1.58</v>
      </c>
      <c r="D59" s="50">
        <v>1.39</v>
      </c>
      <c r="E59" s="50">
        <v>2.46</v>
      </c>
      <c r="F59" s="50">
        <v>6.26</v>
      </c>
      <c r="G59" s="50">
        <v>2.72</v>
      </c>
      <c r="H59" s="50">
        <v>6.46</v>
      </c>
      <c r="I59" s="50">
        <v>8.39</v>
      </c>
      <c r="J59" s="50">
        <v>4.71</v>
      </c>
      <c r="K59" s="50">
        <v>3.47</v>
      </c>
      <c r="L59" s="50">
        <v>2.99</v>
      </c>
      <c r="M59" s="50">
        <v>3.66</v>
      </c>
      <c r="N59" s="50">
        <v>2</v>
      </c>
      <c r="O59" s="50">
        <v>1.85</v>
      </c>
      <c r="P59" s="50">
        <v>2.54</v>
      </c>
      <c r="Q59" s="50">
        <v>5.53</v>
      </c>
      <c r="R59" s="50">
        <v>8.1999999999999993</v>
      </c>
      <c r="S59" s="50">
        <v>5.93</v>
      </c>
      <c r="T59" s="50">
        <v>6.8</v>
      </c>
      <c r="U59" s="50">
        <v>5.82</v>
      </c>
      <c r="V59" s="50">
        <v>4.76</v>
      </c>
      <c r="W59" s="50">
        <v>3.01</v>
      </c>
      <c r="X59" s="50">
        <v>2.36</v>
      </c>
      <c r="Y59" s="50">
        <v>3.09</v>
      </c>
    </row>
    <row r="60" spans="1:25" x14ac:dyDescent="0.25">
      <c r="A60" s="51">
        <v>46034</v>
      </c>
      <c r="B60" s="50">
        <v>3.5</v>
      </c>
      <c r="C60" s="50">
        <v>2.88</v>
      </c>
      <c r="D60" s="50">
        <v>4.3</v>
      </c>
      <c r="E60" s="50">
        <v>4.55</v>
      </c>
      <c r="F60" s="50">
        <v>8.5500000000000007</v>
      </c>
      <c r="G60" s="50">
        <v>13.63</v>
      </c>
      <c r="H60" s="50">
        <v>12.71</v>
      </c>
      <c r="I60" s="50">
        <v>13.05</v>
      </c>
      <c r="J60" s="50">
        <v>9.7200000000000006</v>
      </c>
      <c r="K60" s="50">
        <v>8.08</v>
      </c>
      <c r="L60" s="50">
        <v>7</v>
      </c>
      <c r="M60" s="50">
        <v>6.1</v>
      </c>
      <c r="N60" s="50">
        <v>6.56</v>
      </c>
      <c r="O60" s="50">
        <v>8.19</v>
      </c>
      <c r="P60" s="50">
        <v>9.0299999999999994</v>
      </c>
      <c r="Q60" s="50">
        <v>6.46</v>
      </c>
      <c r="R60" s="50">
        <v>5.56</v>
      </c>
      <c r="S60" s="50">
        <v>6.07</v>
      </c>
      <c r="T60" s="50">
        <v>10.43</v>
      </c>
      <c r="U60" s="50">
        <v>7.3</v>
      </c>
      <c r="V60" s="50">
        <v>7.18</v>
      </c>
      <c r="W60" s="50">
        <v>1.45</v>
      </c>
      <c r="X60" s="50">
        <v>1.53</v>
      </c>
      <c r="Y60" s="50">
        <v>2.4900000000000002</v>
      </c>
    </row>
    <row r="61" spans="1:25" x14ac:dyDescent="0.25">
      <c r="A61" s="51">
        <v>46035</v>
      </c>
      <c r="B61" s="50">
        <v>3.25</v>
      </c>
      <c r="C61" s="50">
        <v>3.45</v>
      </c>
      <c r="D61" s="50">
        <v>2.12</v>
      </c>
      <c r="E61" s="50">
        <v>2.2799999999999998</v>
      </c>
      <c r="F61" s="50">
        <v>3.64</v>
      </c>
      <c r="G61" s="50">
        <v>3.29</v>
      </c>
      <c r="H61" s="50">
        <v>7.08</v>
      </c>
      <c r="I61" s="50">
        <v>11</v>
      </c>
      <c r="J61" s="50">
        <v>9.81</v>
      </c>
      <c r="K61" s="50">
        <v>7.59</v>
      </c>
      <c r="L61" s="50">
        <v>5.3</v>
      </c>
      <c r="M61" s="50">
        <v>4.76</v>
      </c>
      <c r="N61" s="50">
        <v>6.29</v>
      </c>
      <c r="O61" s="50">
        <v>4.3600000000000003</v>
      </c>
      <c r="P61" s="50">
        <v>4.54</v>
      </c>
      <c r="Q61" s="50">
        <v>6.22</v>
      </c>
      <c r="R61" s="50">
        <v>6.16</v>
      </c>
      <c r="S61" s="50">
        <v>6.53</v>
      </c>
      <c r="T61" s="50">
        <v>8.1999999999999993</v>
      </c>
      <c r="U61" s="50">
        <v>4.41</v>
      </c>
      <c r="V61" s="50">
        <v>4.1900000000000004</v>
      </c>
      <c r="W61" s="50">
        <v>1.19</v>
      </c>
      <c r="X61" s="50">
        <v>1.77</v>
      </c>
      <c r="Y61" s="50">
        <v>1.58</v>
      </c>
    </row>
    <row r="62" spans="1:25" x14ac:dyDescent="0.25">
      <c r="A62" s="51">
        <v>46036</v>
      </c>
      <c r="B62" s="50">
        <v>3.53</v>
      </c>
      <c r="C62" s="50">
        <v>1.39</v>
      </c>
      <c r="D62" s="50">
        <v>1.35</v>
      </c>
      <c r="E62" s="50">
        <v>1.39</v>
      </c>
      <c r="F62" s="50">
        <v>3.49</v>
      </c>
      <c r="G62" s="50">
        <v>2.73</v>
      </c>
      <c r="H62" s="50">
        <v>6.6</v>
      </c>
      <c r="I62" s="50">
        <v>6.7</v>
      </c>
      <c r="J62" s="50">
        <v>5.44</v>
      </c>
      <c r="K62" s="50">
        <v>9.0299999999999994</v>
      </c>
      <c r="L62" s="50">
        <v>7.18</v>
      </c>
      <c r="M62" s="50">
        <v>4.7699999999999996</v>
      </c>
      <c r="N62" s="50">
        <v>2.56</v>
      </c>
      <c r="O62" s="50">
        <v>5.49</v>
      </c>
      <c r="P62" s="50">
        <v>5.3</v>
      </c>
      <c r="Q62" s="50">
        <v>2.99</v>
      </c>
      <c r="R62" s="50">
        <v>3.57</v>
      </c>
      <c r="S62" s="50">
        <v>5.18</v>
      </c>
      <c r="T62" s="50">
        <v>6.38</v>
      </c>
      <c r="U62" s="50">
        <v>5.43</v>
      </c>
      <c r="V62" s="50">
        <v>4.0999999999999996</v>
      </c>
      <c r="W62" s="50">
        <v>2.95</v>
      </c>
      <c r="X62" s="50">
        <v>1.28</v>
      </c>
      <c r="Y62" s="50">
        <v>1.21</v>
      </c>
    </row>
    <row r="63" spans="1:25" x14ac:dyDescent="0.25">
      <c r="A63" s="51">
        <v>46037</v>
      </c>
      <c r="B63" s="50">
        <v>1.34</v>
      </c>
      <c r="C63" s="50">
        <v>1.29</v>
      </c>
      <c r="D63" s="50">
        <v>1.42</v>
      </c>
      <c r="E63" s="50">
        <v>1.64</v>
      </c>
      <c r="F63" s="50">
        <v>5.08</v>
      </c>
      <c r="G63" s="50">
        <v>6.43</v>
      </c>
      <c r="H63" s="50">
        <v>8.9</v>
      </c>
      <c r="I63" s="50">
        <v>10.68</v>
      </c>
      <c r="J63" s="50">
        <v>13.35</v>
      </c>
      <c r="K63" s="50">
        <v>7.65</v>
      </c>
      <c r="L63" s="50">
        <v>8.07</v>
      </c>
      <c r="M63" s="50">
        <v>9.59</v>
      </c>
      <c r="N63" s="50">
        <v>5.01</v>
      </c>
      <c r="O63" s="50">
        <v>7.25</v>
      </c>
      <c r="P63" s="50">
        <v>6.55</v>
      </c>
      <c r="Q63" s="50">
        <v>14.27</v>
      </c>
      <c r="R63" s="50">
        <v>6.91</v>
      </c>
      <c r="S63" s="50">
        <v>14.46</v>
      </c>
      <c r="T63" s="50">
        <v>9.2899999999999991</v>
      </c>
      <c r="U63" s="50">
        <v>10.9</v>
      </c>
      <c r="V63" s="50">
        <v>10.01</v>
      </c>
      <c r="W63" s="50">
        <v>2.67</v>
      </c>
      <c r="X63" s="50">
        <v>6.57</v>
      </c>
      <c r="Y63" s="50">
        <v>5.17</v>
      </c>
    </row>
    <row r="64" spans="1:25" x14ac:dyDescent="0.25">
      <c r="A64" s="51">
        <v>46038</v>
      </c>
      <c r="B64" s="50">
        <v>5.4</v>
      </c>
      <c r="C64" s="50">
        <v>3.84</v>
      </c>
      <c r="D64" s="50">
        <v>7.01</v>
      </c>
      <c r="E64" s="50">
        <v>4.59</v>
      </c>
      <c r="F64" s="50">
        <v>13.42</v>
      </c>
      <c r="G64" s="50">
        <v>14.23</v>
      </c>
      <c r="H64" s="50">
        <v>15.8</v>
      </c>
      <c r="I64" s="50">
        <v>14.81</v>
      </c>
      <c r="J64" s="50">
        <v>13.76</v>
      </c>
      <c r="K64" s="50">
        <v>9.34</v>
      </c>
      <c r="L64" s="50">
        <v>6.79</v>
      </c>
      <c r="M64" s="50">
        <v>7.77</v>
      </c>
      <c r="N64" s="50">
        <v>4.9800000000000004</v>
      </c>
      <c r="O64" s="50">
        <v>3.9</v>
      </c>
      <c r="P64" s="50">
        <v>5.26</v>
      </c>
      <c r="Q64" s="50">
        <v>14.83</v>
      </c>
      <c r="R64" s="50">
        <v>18.54</v>
      </c>
      <c r="S64" s="50">
        <v>8.49</v>
      </c>
      <c r="T64" s="50">
        <v>6.72</v>
      </c>
      <c r="U64" s="50">
        <v>6.52</v>
      </c>
      <c r="V64" s="50">
        <v>5.7</v>
      </c>
      <c r="W64" s="50">
        <v>4.59</v>
      </c>
      <c r="X64" s="50">
        <v>4.24</v>
      </c>
      <c r="Y64" s="50">
        <v>3.72</v>
      </c>
    </row>
    <row r="65" spans="1:25" x14ac:dyDescent="0.25">
      <c r="A65" s="51">
        <v>46039</v>
      </c>
      <c r="B65" s="50">
        <v>5.07</v>
      </c>
      <c r="C65" s="50">
        <v>5.78</v>
      </c>
      <c r="D65" s="50">
        <v>4.13</v>
      </c>
      <c r="E65" s="50">
        <v>3.75</v>
      </c>
      <c r="F65" s="50">
        <v>10.130000000000001</v>
      </c>
      <c r="G65" s="50">
        <v>13.33</v>
      </c>
      <c r="H65" s="50">
        <v>14.73</v>
      </c>
      <c r="I65" s="50">
        <v>14.82</v>
      </c>
      <c r="J65" s="50">
        <v>14.97</v>
      </c>
      <c r="K65" s="50">
        <v>11.14</v>
      </c>
      <c r="L65" s="50">
        <v>8.25</v>
      </c>
      <c r="M65" s="50">
        <v>10.91</v>
      </c>
      <c r="N65" s="50">
        <v>11.07</v>
      </c>
      <c r="O65" s="50">
        <v>8.08</v>
      </c>
      <c r="P65" s="50">
        <v>8.93</v>
      </c>
      <c r="Q65" s="50">
        <v>15.91</v>
      </c>
      <c r="R65" s="50">
        <v>10.85</v>
      </c>
      <c r="S65" s="50">
        <v>12.95</v>
      </c>
      <c r="T65" s="50">
        <v>11.08</v>
      </c>
      <c r="U65" s="50">
        <v>8.5</v>
      </c>
      <c r="V65" s="50">
        <v>9.67</v>
      </c>
      <c r="W65" s="50">
        <v>2.39</v>
      </c>
      <c r="X65" s="50">
        <v>3.15</v>
      </c>
      <c r="Y65" s="50">
        <v>4.5999999999999996</v>
      </c>
    </row>
    <row r="66" spans="1:25" x14ac:dyDescent="0.25">
      <c r="A66" s="51">
        <v>46040</v>
      </c>
      <c r="B66" s="50">
        <v>3.42</v>
      </c>
      <c r="C66" s="50">
        <v>2.71</v>
      </c>
      <c r="D66" s="50">
        <v>2.7</v>
      </c>
      <c r="E66" s="50">
        <v>2.42</v>
      </c>
      <c r="F66" s="50">
        <v>6.31</v>
      </c>
      <c r="G66" s="50">
        <v>4.75</v>
      </c>
      <c r="H66" s="50">
        <v>6.22</v>
      </c>
      <c r="I66" s="50">
        <v>10.62</v>
      </c>
      <c r="J66" s="50">
        <v>5.88</v>
      </c>
      <c r="K66" s="50">
        <v>2.81</v>
      </c>
      <c r="L66" s="50">
        <v>6.52</v>
      </c>
      <c r="M66" s="50">
        <v>4.17</v>
      </c>
      <c r="N66" s="50">
        <v>2.59</v>
      </c>
      <c r="O66" s="50">
        <v>3.49</v>
      </c>
      <c r="P66" s="50">
        <v>2.74</v>
      </c>
      <c r="Q66" s="50">
        <v>3.11</v>
      </c>
      <c r="R66" s="50">
        <v>9.0299999999999994</v>
      </c>
      <c r="S66" s="50">
        <v>8.7899999999999991</v>
      </c>
      <c r="T66" s="50">
        <v>6.26</v>
      </c>
      <c r="U66" s="50">
        <v>7.13</v>
      </c>
      <c r="V66" s="50">
        <v>10.77</v>
      </c>
      <c r="W66" s="50">
        <v>2.3199999999999998</v>
      </c>
      <c r="X66" s="50">
        <v>5.14</v>
      </c>
      <c r="Y66" s="50">
        <v>3.04</v>
      </c>
    </row>
    <row r="67" spans="1:25" x14ac:dyDescent="0.25">
      <c r="A67" s="51">
        <v>46041</v>
      </c>
      <c r="B67" s="50">
        <v>3.77</v>
      </c>
      <c r="C67" s="50">
        <v>2.93</v>
      </c>
      <c r="D67" s="50">
        <v>3.35</v>
      </c>
      <c r="E67" s="50">
        <v>5.26</v>
      </c>
      <c r="F67" s="50">
        <v>5.62</v>
      </c>
      <c r="G67" s="50">
        <v>13.95</v>
      </c>
      <c r="H67" s="50">
        <v>13.31</v>
      </c>
      <c r="I67" s="50">
        <v>13.1</v>
      </c>
      <c r="J67" s="50">
        <v>10.4</v>
      </c>
      <c r="K67" s="50">
        <v>8.85</v>
      </c>
      <c r="L67" s="50">
        <v>8.6199999999999992</v>
      </c>
      <c r="M67" s="50">
        <v>4.07</v>
      </c>
      <c r="N67" s="50">
        <v>4.74</v>
      </c>
      <c r="O67" s="50">
        <v>5.66</v>
      </c>
      <c r="P67" s="50">
        <v>6.55</v>
      </c>
      <c r="Q67" s="50">
        <v>6.82</v>
      </c>
      <c r="R67" s="50">
        <v>5.17</v>
      </c>
      <c r="S67" s="50">
        <v>11.72</v>
      </c>
      <c r="T67" s="50">
        <v>10.06</v>
      </c>
      <c r="U67" s="50">
        <v>10.37</v>
      </c>
      <c r="V67" s="50">
        <v>11.94</v>
      </c>
      <c r="W67" s="50">
        <v>2.6</v>
      </c>
      <c r="X67" s="50">
        <v>3.47</v>
      </c>
      <c r="Y67" s="50">
        <v>4.4800000000000004</v>
      </c>
    </row>
    <row r="68" spans="1:25" x14ac:dyDescent="0.25">
      <c r="A68" s="51">
        <v>46042</v>
      </c>
      <c r="B68" s="50">
        <v>5.61</v>
      </c>
      <c r="C68" s="50">
        <v>3.65</v>
      </c>
      <c r="D68" s="50">
        <v>3.28</v>
      </c>
      <c r="E68" s="50">
        <v>4.87</v>
      </c>
      <c r="F68" s="50">
        <v>9.11</v>
      </c>
      <c r="G68" s="50">
        <v>15.87</v>
      </c>
      <c r="H68" s="50">
        <v>14.8</v>
      </c>
      <c r="I68" s="50">
        <v>16.91</v>
      </c>
      <c r="J68" s="50">
        <v>7.68</v>
      </c>
      <c r="K68" s="50">
        <v>9.0500000000000007</v>
      </c>
      <c r="L68" s="50">
        <v>6.07</v>
      </c>
      <c r="M68" s="50">
        <v>7.84</v>
      </c>
      <c r="N68" s="50">
        <v>4.88</v>
      </c>
      <c r="O68" s="50">
        <v>3.45</v>
      </c>
      <c r="P68" s="50">
        <v>5.52</v>
      </c>
      <c r="Q68" s="50">
        <v>14.75</v>
      </c>
      <c r="R68" s="50">
        <v>18.53</v>
      </c>
      <c r="S68" s="50">
        <v>9.4600000000000009</v>
      </c>
      <c r="T68" s="50">
        <v>8.6300000000000008</v>
      </c>
      <c r="U68" s="50">
        <v>10.16</v>
      </c>
      <c r="V68" s="50">
        <v>7.15</v>
      </c>
      <c r="W68" s="50">
        <v>4</v>
      </c>
      <c r="X68" s="50">
        <v>4.34</v>
      </c>
      <c r="Y68" s="50">
        <v>5.0599999999999996</v>
      </c>
    </row>
    <row r="69" spans="1:25" x14ac:dyDescent="0.25">
      <c r="A69" s="51">
        <v>46043</v>
      </c>
      <c r="B69" s="50">
        <v>5.61</v>
      </c>
      <c r="C69" s="50">
        <v>10.73</v>
      </c>
      <c r="D69" s="50">
        <v>2.94</v>
      </c>
      <c r="E69" s="50">
        <v>3.76</v>
      </c>
      <c r="F69" s="50">
        <v>12.8</v>
      </c>
      <c r="G69" s="50">
        <v>18.52</v>
      </c>
      <c r="H69" s="50">
        <v>1.1299999999999999</v>
      </c>
      <c r="I69" s="50">
        <v>0.91</v>
      </c>
      <c r="J69" s="50">
        <v>1.25</v>
      </c>
      <c r="K69" s="50">
        <v>0.97</v>
      </c>
      <c r="L69" s="50">
        <v>10.07</v>
      </c>
      <c r="M69" s="50">
        <v>6.15</v>
      </c>
      <c r="N69" s="50">
        <v>9.4700000000000006</v>
      </c>
      <c r="O69" s="50">
        <v>8.1199999999999992</v>
      </c>
      <c r="P69" s="50">
        <v>9.06</v>
      </c>
      <c r="Q69" s="50">
        <v>15.64</v>
      </c>
      <c r="R69" s="50">
        <v>10.6</v>
      </c>
      <c r="S69" s="50">
        <v>11.65</v>
      </c>
      <c r="T69" s="50">
        <v>9.23</v>
      </c>
      <c r="U69" s="50">
        <v>9.81</v>
      </c>
      <c r="V69" s="50">
        <v>10.72</v>
      </c>
      <c r="W69" s="50">
        <v>2.1</v>
      </c>
      <c r="X69" s="50">
        <v>3.2</v>
      </c>
      <c r="Y69" s="50">
        <v>3.02</v>
      </c>
    </row>
    <row r="70" spans="1:25" x14ac:dyDescent="0.25">
      <c r="A70" s="51">
        <v>46044</v>
      </c>
      <c r="B70" s="50">
        <v>3.59</v>
      </c>
      <c r="C70" s="50">
        <v>5.17</v>
      </c>
      <c r="D70" s="50">
        <v>3.24</v>
      </c>
      <c r="E70" s="50">
        <v>3.45</v>
      </c>
      <c r="F70" s="50">
        <v>8.39</v>
      </c>
      <c r="G70" s="50">
        <v>6.6</v>
      </c>
      <c r="H70" s="50">
        <v>12.98</v>
      </c>
      <c r="I70" s="50">
        <v>13.34</v>
      </c>
      <c r="J70" s="50">
        <v>7.77</v>
      </c>
      <c r="K70" s="50">
        <v>6.11</v>
      </c>
      <c r="L70" s="50">
        <v>2.7</v>
      </c>
      <c r="M70" s="50">
        <v>3.68</v>
      </c>
      <c r="N70" s="50">
        <v>3.71</v>
      </c>
      <c r="O70" s="50">
        <v>5.63</v>
      </c>
      <c r="P70" s="50">
        <v>6.08</v>
      </c>
      <c r="Q70" s="50">
        <v>7.62</v>
      </c>
      <c r="R70" s="50">
        <v>7.82</v>
      </c>
      <c r="S70" s="50">
        <v>8.0399999999999991</v>
      </c>
      <c r="T70" s="50">
        <v>10.92</v>
      </c>
      <c r="U70" s="50">
        <v>7.8</v>
      </c>
      <c r="V70" s="50">
        <v>8.0399999999999991</v>
      </c>
      <c r="W70" s="50">
        <v>3.53</v>
      </c>
      <c r="X70" s="50">
        <v>3.26</v>
      </c>
      <c r="Y70" s="50">
        <v>3.9</v>
      </c>
    </row>
    <row r="71" spans="1:25" x14ac:dyDescent="0.25">
      <c r="A71" s="51">
        <v>46045</v>
      </c>
      <c r="B71" s="50">
        <v>4.5999999999999996</v>
      </c>
      <c r="C71" s="50">
        <v>4.6900000000000004</v>
      </c>
      <c r="D71" s="50">
        <v>5.49</v>
      </c>
      <c r="E71" s="50">
        <v>3.66</v>
      </c>
      <c r="F71" s="50">
        <v>9.57</v>
      </c>
      <c r="G71" s="50">
        <v>15.38</v>
      </c>
      <c r="H71" s="50">
        <v>14.32</v>
      </c>
      <c r="I71" s="50">
        <v>16.71</v>
      </c>
      <c r="J71" s="50">
        <v>10.71</v>
      </c>
      <c r="K71" s="50">
        <v>4.93</v>
      </c>
      <c r="L71" s="50">
        <v>3.49</v>
      </c>
      <c r="M71" s="50">
        <v>4.1900000000000004</v>
      </c>
      <c r="N71" s="50">
        <v>3.11</v>
      </c>
      <c r="O71" s="50">
        <v>6.25</v>
      </c>
      <c r="P71" s="50">
        <v>3.45</v>
      </c>
      <c r="Q71" s="50">
        <v>14.52</v>
      </c>
      <c r="R71" s="50">
        <v>14.79</v>
      </c>
      <c r="S71" s="50">
        <v>10.210000000000001</v>
      </c>
      <c r="T71" s="50">
        <v>11.52</v>
      </c>
      <c r="U71" s="50">
        <v>9.8800000000000008</v>
      </c>
      <c r="V71" s="50">
        <v>11.34</v>
      </c>
      <c r="W71" s="50">
        <v>3.87</v>
      </c>
      <c r="X71" s="50">
        <v>5.81</v>
      </c>
      <c r="Y71" s="50">
        <v>7.17</v>
      </c>
    </row>
    <row r="72" spans="1:25" x14ac:dyDescent="0.25">
      <c r="A72" s="51">
        <v>46046</v>
      </c>
      <c r="B72" s="50">
        <v>7.66</v>
      </c>
      <c r="C72" s="50">
        <v>15.74</v>
      </c>
      <c r="D72" s="50">
        <v>4.79</v>
      </c>
      <c r="E72" s="50">
        <v>1.95</v>
      </c>
      <c r="F72" s="50">
        <v>16.16</v>
      </c>
      <c r="G72" s="50">
        <v>26.52</v>
      </c>
      <c r="H72" s="50">
        <v>1.62</v>
      </c>
      <c r="I72" s="50">
        <v>0.93</v>
      </c>
      <c r="J72" s="50">
        <v>1.23</v>
      </c>
      <c r="K72" s="50">
        <v>0.81</v>
      </c>
      <c r="L72" s="50">
        <v>22.88</v>
      </c>
      <c r="M72" s="50">
        <v>15.22</v>
      </c>
      <c r="N72" s="50">
        <v>16.52</v>
      </c>
      <c r="O72" s="50">
        <v>11.5</v>
      </c>
      <c r="P72" s="50">
        <v>7.41</v>
      </c>
      <c r="Q72" s="50">
        <v>13.85</v>
      </c>
      <c r="R72" s="50">
        <v>11.63</v>
      </c>
      <c r="S72" s="50">
        <v>16.38</v>
      </c>
      <c r="T72" s="50">
        <v>17.329999999999998</v>
      </c>
      <c r="U72" s="50">
        <v>18.25</v>
      </c>
      <c r="V72" s="50">
        <v>15.22</v>
      </c>
      <c r="W72" s="50">
        <v>4.6500000000000004</v>
      </c>
      <c r="X72" s="50">
        <v>8.82</v>
      </c>
      <c r="Y72" s="50">
        <v>11.78</v>
      </c>
    </row>
    <row r="73" spans="1:25" x14ac:dyDescent="0.25">
      <c r="A73" s="51">
        <v>46047</v>
      </c>
      <c r="B73" s="50">
        <v>10.73</v>
      </c>
      <c r="C73" s="50">
        <v>15.75</v>
      </c>
      <c r="D73" s="50">
        <v>4.25</v>
      </c>
      <c r="E73" s="50">
        <v>1.82</v>
      </c>
      <c r="F73" s="50">
        <v>15.67</v>
      </c>
      <c r="G73" s="50">
        <v>25.54</v>
      </c>
      <c r="H73" s="50">
        <v>1.69</v>
      </c>
      <c r="I73" s="50">
        <v>1.01</v>
      </c>
      <c r="J73" s="50">
        <v>1.41</v>
      </c>
      <c r="K73" s="50">
        <v>2.08</v>
      </c>
      <c r="L73" s="50">
        <v>25.82</v>
      </c>
      <c r="M73" s="50">
        <v>20.73</v>
      </c>
      <c r="N73" s="50">
        <v>17.600000000000001</v>
      </c>
      <c r="O73" s="50">
        <v>7.99</v>
      </c>
      <c r="P73" s="50">
        <v>16.55</v>
      </c>
      <c r="Q73" s="50">
        <v>26.01</v>
      </c>
      <c r="R73" s="50">
        <v>1.65</v>
      </c>
      <c r="S73" s="50">
        <v>1.0900000000000001</v>
      </c>
      <c r="T73" s="50">
        <v>1.34</v>
      </c>
      <c r="U73" s="50">
        <v>1.5</v>
      </c>
      <c r="V73" s="50">
        <v>17.37</v>
      </c>
      <c r="W73" s="50">
        <v>6.93</v>
      </c>
      <c r="X73" s="50">
        <v>7.8</v>
      </c>
      <c r="Y73" s="50">
        <v>9.6</v>
      </c>
    </row>
    <row r="74" spans="1:25" x14ac:dyDescent="0.25">
      <c r="A74" s="51">
        <v>46048</v>
      </c>
      <c r="B74" s="50">
        <v>9.07</v>
      </c>
      <c r="C74" s="50">
        <v>9.99</v>
      </c>
      <c r="D74" s="50">
        <v>9.67</v>
      </c>
      <c r="E74" s="50">
        <v>10.61</v>
      </c>
      <c r="F74" s="50">
        <v>11.14</v>
      </c>
      <c r="G74" s="50">
        <v>24.16</v>
      </c>
      <c r="H74" s="50">
        <v>1.8</v>
      </c>
      <c r="I74" s="50">
        <v>1.22</v>
      </c>
      <c r="J74" s="50">
        <v>1.25</v>
      </c>
      <c r="K74" s="50">
        <v>1.27</v>
      </c>
      <c r="L74" s="50">
        <v>16.649999999999999</v>
      </c>
      <c r="M74" s="50">
        <v>7.46</v>
      </c>
      <c r="N74" s="50">
        <v>17.88</v>
      </c>
      <c r="O74" s="50">
        <v>22.98</v>
      </c>
      <c r="P74" s="50">
        <v>16.399999999999999</v>
      </c>
      <c r="Q74" s="50">
        <v>24.28</v>
      </c>
      <c r="R74" s="50">
        <v>2.13</v>
      </c>
      <c r="S74" s="50">
        <v>1.71</v>
      </c>
      <c r="T74" s="50">
        <v>1.85</v>
      </c>
      <c r="U74" s="50">
        <v>1.27</v>
      </c>
      <c r="V74" s="50">
        <v>19.260000000000002</v>
      </c>
      <c r="W74" s="50">
        <v>5.39</v>
      </c>
      <c r="X74" s="50">
        <v>6.53</v>
      </c>
      <c r="Y74" s="50">
        <v>6.39</v>
      </c>
    </row>
    <row r="75" spans="1:25" x14ac:dyDescent="0.25">
      <c r="A75" s="51">
        <v>46049</v>
      </c>
      <c r="B75" s="50">
        <v>6.16</v>
      </c>
      <c r="C75" s="50">
        <v>10.65</v>
      </c>
      <c r="D75" s="50">
        <v>9.8000000000000007</v>
      </c>
      <c r="E75" s="50">
        <v>9.4600000000000009</v>
      </c>
      <c r="F75" s="50">
        <v>11.95</v>
      </c>
      <c r="G75" s="50">
        <v>10.62</v>
      </c>
      <c r="H75" s="50">
        <v>15.38</v>
      </c>
      <c r="I75" s="50">
        <v>15.88</v>
      </c>
      <c r="J75" s="50">
        <v>17.809999999999999</v>
      </c>
      <c r="K75" s="50">
        <v>13.36</v>
      </c>
      <c r="L75" s="50">
        <v>11.36</v>
      </c>
      <c r="M75" s="50">
        <v>10.54</v>
      </c>
      <c r="N75" s="50">
        <v>8.31</v>
      </c>
      <c r="O75" s="50">
        <v>11.18</v>
      </c>
      <c r="P75" s="50">
        <v>8.6999999999999993</v>
      </c>
      <c r="Q75" s="50">
        <v>7.42</v>
      </c>
      <c r="R75" s="50">
        <v>9.02</v>
      </c>
      <c r="S75" s="50">
        <v>13.8</v>
      </c>
      <c r="T75" s="50">
        <v>13.52</v>
      </c>
      <c r="U75" s="50">
        <v>10.68</v>
      </c>
      <c r="V75" s="50">
        <v>10.039999999999999</v>
      </c>
      <c r="W75" s="50">
        <v>2.5</v>
      </c>
      <c r="X75" s="50">
        <v>3.05</v>
      </c>
      <c r="Y75" s="50">
        <v>6.62</v>
      </c>
    </row>
    <row r="76" spans="1:25" x14ac:dyDescent="0.25">
      <c r="A76" s="51">
        <v>46050</v>
      </c>
      <c r="B76" s="50">
        <v>9.2100000000000009</v>
      </c>
      <c r="C76" s="50">
        <v>8.1199999999999992</v>
      </c>
      <c r="D76" s="50">
        <v>8.67</v>
      </c>
      <c r="E76" s="50">
        <v>9.51</v>
      </c>
      <c r="F76" s="50">
        <v>8.89</v>
      </c>
      <c r="G76" s="50">
        <v>8.4700000000000006</v>
      </c>
      <c r="H76" s="50">
        <v>11.21</v>
      </c>
      <c r="I76" s="50">
        <v>21.73</v>
      </c>
      <c r="J76" s="50">
        <v>14.97</v>
      </c>
      <c r="K76" s="50">
        <v>5.33</v>
      </c>
      <c r="L76" s="50">
        <v>4.53</v>
      </c>
      <c r="M76" s="50">
        <v>9.4499999999999993</v>
      </c>
      <c r="N76" s="50">
        <v>6.26</v>
      </c>
      <c r="O76" s="50">
        <v>6.95</v>
      </c>
      <c r="P76" s="50">
        <v>4.1900000000000004</v>
      </c>
      <c r="Q76" s="50">
        <v>9.4600000000000009</v>
      </c>
      <c r="R76" s="50">
        <v>8.57</v>
      </c>
      <c r="S76" s="50">
        <v>11.63</v>
      </c>
      <c r="T76" s="50">
        <v>10.8</v>
      </c>
      <c r="U76" s="50">
        <v>10.41</v>
      </c>
      <c r="V76" s="50">
        <v>11.81</v>
      </c>
      <c r="W76" s="50">
        <v>2.4700000000000002</v>
      </c>
      <c r="X76" s="50">
        <v>3.49</v>
      </c>
      <c r="Y76" s="50">
        <v>4.78</v>
      </c>
    </row>
    <row r="77" spans="1:25" x14ac:dyDescent="0.25">
      <c r="A77" s="51">
        <v>46051</v>
      </c>
      <c r="B77" s="50">
        <v>8.11</v>
      </c>
      <c r="C77" s="50">
        <v>6.71</v>
      </c>
      <c r="D77" s="50">
        <v>8.4600000000000009</v>
      </c>
      <c r="E77" s="50">
        <v>7.76</v>
      </c>
      <c r="F77" s="50">
        <v>12.27</v>
      </c>
      <c r="G77" s="50">
        <v>10.86</v>
      </c>
      <c r="H77" s="50">
        <v>18.829999999999998</v>
      </c>
      <c r="I77" s="50">
        <v>18.47</v>
      </c>
      <c r="J77" s="50">
        <v>12.93</v>
      </c>
      <c r="K77" s="50">
        <v>11.88</v>
      </c>
      <c r="L77" s="50">
        <v>5.36</v>
      </c>
      <c r="M77" s="50">
        <v>6.62</v>
      </c>
      <c r="N77" s="50">
        <v>11.9</v>
      </c>
      <c r="O77" s="50">
        <v>14.77</v>
      </c>
      <c r="P77" s="50">
        <v>12.72</v>
      </c>
      <c r="Q77" s="50">
        <v>12.45</v>
      </c>
      <c r="R77" s="50">
        <v>12.9</v>
      </c>
      <c r="S77" s="50">
        <v>12.13</v>
      </c>
      <c r="T77" s="50">
        <v>12.08</v>
      </c>
      <c r="U77" s="50">
        <v>9.9700000000000006</v>
      </c>
      <c r="V77" s="50">
        <v>11.24</v>
      </c>
      <c r="W77" s="50">
        <v>2.82</v>
      </c>
      <c r="X77" s="50">
        <v>8.39</v>
      </c>
      <c r="Y77" s="50">
        <v>6.44</v>
      </c>
    </row>
    <row r="78" spans="1:25" x14ac:dyDescent="0.25">
      <c r="A78" s="51">
        <v>46052</v>
      </c>
      <c r="B78" s="50">
        <v>9.83</v>
      </c>
      <c r="C78" s="50">
        <v>8.2200000000000006</v>
      </c>
      <c r="D78" s="50">
        <v>10.18</v>
      </c>
      <c r="E78" s="50">
        <v>11.86</v>
      </c>
      <c r="F78" s="50">
        <v>12.23</v>
      </c>
      <c r="G78" s="50">
        <v>10.92</v>
      </c>
      <c r="H78" s="50">
        <v>15.42</v>
      </c>
      <c r="I78" s="50">
        <v>17.66</v>
      </c>
      <c r="J78" s="50">
        <v>11.88</v>
      </c>
      <c r="K78" s="50">
        <v>9.35</v>
      </c>
      <c r="L78" s="50">
        <v>4.49</v>
      </c>
      <c r="M78" s="50">
        <v>8.57</v>
      </c>
      <c r="N78" s="50">
        <v>7.82</v>
      </c>
      <c r="O78" s="50">
        <v>6.47</v>
      </c>
      <c r="P78" s="50">
        <v>5.21</v>
      </c>
      <c r="Q78" s="50">
        <v>8</v>
      </c>
      <c r="R78" s="50">
        <v>10.6</v>
      </c>
      <c r="S78" s="50">
        <v>14.21</v>
      </c>
      <c r="T78" s="50">
        <v>12.94</v>
      </c>
      <c r="U78" s="50">
        <v>12.22</v>
      </c>
      <c r="V78" s="50">
        <v>11.52</v>
      </c>
      <c r="W78" s="50">
        <v>2.9</v>
      </c>
      <c r="X78" s="50">
        <v>4.46</v>
      </c>
      <c r="Y78" s="50">
        <v>6.08</v>
      </c>
    </row>
    <row r="79" spans="1:25" x14ac:dyDescent="0.25">
      <c r="A79" s="51">
        <v>46053</v>
      </c>
      <c r="B79" s="50">
        <v>6.32</v>
      </c>
      <c r="C79" s="50">
        <v>7.5</v>
      </c>
      <c r="D79" s="50">
        <v>7.23</v>
      </c>
      <c r="E79" s="50">
        <v>6.89</v>
      </c>
      <c r="F79" s="50">
        <v>7.9</v>
      </c>
      <c r="G79" s="50">
        <v>6.52</v>
      </c>
      <c r="H79" s="50">
        <v>11.71</v>
      </c>
      <c r="I79" s="50">
        <v>12.45</v>
      </c>
      <c r="J79" s="50">
        <v>16.5</v>
      </c>
      <c r="K79" s="50">
        <v>13.5</v>
      </c>
      <c r="L79" s="50">
        <v>9.2100000000000009</v>
      </c>
      <c r="M79" s="50">
        <v>8.42</v>
      </c>
      <c r="N79" s="50">
        <v>9.7899999999999991</v>
      </c>
      <c r="O79" s="50">
        <v>9.24</v>
      </c>
      <c r="P79" s="50">
        <v>7.66</v>
      </c>
      <c r="Q79" s="50">
        <v>6.88</v>
      </c>
      <c r="R79" s="50">
        <v>8.92</v>
      </c>
      <c r="S79" s="50">
        <v>12.52</v>
      </c>
      <c r="T79" s="50">
        <v>13.83</v>
      </c>
      <c r="U79" s="50">
        <v>10.96</v>
      </c>
      <c r="V79" s="50">
        <v>9.49</v>
      </c>
      <c r="W79" s="50">
        <v>2.2599999999999998</v>
      </c>
      <c r="X79" s="50">
        <v>5.85</v>
      </c>
      <c r="Y79" s="50">
        <v>5.39</v>
      </c>
    </row>
    <row r="80" spans="1:25" x14ac:dyDescent="0.25">
      <c r="A80" s="51">
        <v>46054</v>
      </c>
      <c r="B80" s="50">
        <v>5.9</v>
      </c>
      <c r="C80" s="50">
        <v>5.71</v>
      </c>
      <c r="D80" s="50">
        <v>8.5</v>
      </c>
      <c r="E80" s="50">
        <v>7.57</v>
      </c>
      <c r="F80" s="50">
        <v>7.79</v>
      </c>
      <c r="G80" s="50">
        <v>16.93</v>
      </c>
      <c r="H80" s="50">
        <v>1.54</v>
      </c>
      <c r="I80" s="50">
        <v>0.96</v>
      </c>
      <c r="J80" s="50">
        <v>0.94</v>
      </c>
      <c r="K80" s="50">
        <v>1.29</v>
      </c>
      <c r="L80" s="50">
        <v>24.81</v>
      </c>
      <c r="M80" s="50">
        <v>15.48</v>
      </c>
      <c r="N80" s="50">
        <v>13.21</v>
      </c>
      <c r="O80" s="50">
        <v>10.53</v>
      </c>
      <c r="P80" s="50">
        <v>8.49</v>
      </c>
      <c r="Q80" s="50">
        <v>11.74</v>
      </c>
      <c r="R80" s="50">
        <v>10.31</v>
      </c>
      <c r="S80" s="50">
        <v>12.81</v>
      </c>
      <c r="T80" s="50">
        <v>8.36</v>
      </c>
      <c r="U80" s="50">
        <v>8.81</v>
      </c>
      <c r="V80" s="50">
        <v>9.32</v>
      </c>
      <c r="W80" s="50">
        <v>4.28</v>
      </c>
      <c r="X80" s="50">
        <v>4.3499999999999996</v>
      </c>
      <c r="Y80" s="50">
        <v>5.82</v>
      </c>
    </row>
    <row r="81" spans="1:25" x14ac:dyDescent="0.25">
      <c r="A81" s="51">
        <v>46055</v>
      </c>
      <c r="B81" s="50">
        <v>8.57</v>
      </c>
      <c r="C81" s="50">
        <v>10.43</v>
      </c>
      <c r="D81" s="50">
        <v>8.7799999999999994</v>
      </c>
      <c r="E81" s="50">
        <v>0</v>
      </c>
      <c r="F81" s="50">
        <v>0</v>
      </c>
      <c r="G81" s="50">
        <v>0</v>
      </c>
      <c r="H81" s="50">
        <v>0</v>
      </c>
      <c r="I81" s="50">
        <v>0</v>
      </c>
      <c r="J81" s="50">
        <v>0</v>
      </c>
      <c r="K81" s="50">
        <v>0</v>
      </c>
      <c r="L81" s="50">
        <v>0</v>
      </c>
      <c r="M81" s="50">
        <v>0</v>
      </c>
      <c r="N81" s="50">
        <v>0</v>
      </c>
      <c r="O81" s="50">
        <v>0</v>
      </c>
      <c r="P81" s="50">
        <v>0</v>
      </c>
      <c r="Q81" s="50">
        <v>0</v>
      </c>
      <c r="R81" s="50">
        <v>0</v>
      </c>
      <c r="S81" s="50">
        <v>0</v>
      </c>
      <c r="T81" s="50">
        <v>0</v>
      </c>
      <c r="U81" s="50">
        <v>0</v>
      </c>
      <c r="V81" s="50">
        <v>0</v>
      </c>
      <c r="W81" s="50">
        <v>0</v>
      </c>
      <c r="X81" s="50">
        <v>0</v>
      </c>
      <c r="Y81" s="50">
        <v>0</v>
      </c>
    </row>
    <row r="82" spans="1:25" x14ac:dyDescent="0.25">
      <c r="A82" s="43">
        <v>46056</v>
      </c>
      <c r="B82" s="38"/>
      <c r="C82" s="38"/>
      <c r="D82" s="38"/>
      <c r="E82" s="38"/>
      <c r="F82" s="38"/>
      <c r="G82" s="38"/>
      <c r="H82" s="38"/>
      <c r="I82" s="38"/>
      <c r="J82" s="38"/>
      <c r="K82" s="38"/>
      <c r="L82" s="38"/>
      <c r="M82" s="38"/>
      <c r="N82" s="38"/>
      <c r="O82" s="38"/>
      <c r="P82" s="38"/>
      <c r="Q82" s="38"/>
      <c r="R82" s="38"/>
      <c r="S82" s="38"/>
      <c r="T82" s="38"/>
      <c r="U82" s="38"/>
      <c r="V82" s="38"/>
      <c r="W82" s="38"/>
      <c r="X82" s="38"/>
      <c r="Y82" s="38"/>
    </row>
    <row r="83" spans="1:25" x14ac:dyDescent="0.25">
      <c r="A83" s="43">
        <v>46057</v>
      </c>
      <c r="B83" s="38"/>
      <c r="C83" s="38"/>
      <c r="D83" s="38"/>
      <c r="E83" s="38"/>
      <c r="F83" s="38"/>
      <c r="G83" s="38"/>
      <c r="H83" s="38"/>
      <c r="I83" s="38"/>
      <c r="J83" s="38"/>
      <c r="K83" s="38"/>
      <c r="L83" s="38"/>
      <c r="M83" s="38"/>
      <c r="N83" s="38"/>
      <c r="O83" s="38"/>
      <c r="P83" s="38"/>
      <c r="Q83" s="38"/>
      <c r="R83" s="38"/>
      <c r="S83" s="38"/>
      <c r="T83" s="38"/>
      <c r="U83" s="38"/>
      <c r="V83" s="38"/>
      <c r="W83" s="38"/>
      <c r="X83" s="38"/>
      <c r="Y83" s="38"/>
    </row>
    <row r="84" spans="1:25" x14ac:dyDescent="0.25">
      <c r="A84" s="43">
        <v>46058</v>
      </c>
      <c r="B84" s="38"/>
      <c r="C84" s="38"/>
      <c r="D84" s="38"/>
      <c r="E84" s="38"/>
      <c r="F84" s="38"/>
      <c r="G84" s="38"/>
      <c r="H84" s="38"/>
      <c r="I84" s="38"/>
      <c r="J84" s="38"/>
      <c r="K84" s="38"/>
      <c r="L84" s="38"/>
      <c r="M84" s="38"/>
      <c r="N84" s="38"/>
      <c r="O84" s="38"/>
      <c r="P84" s="38"/>
      <c r="Q84" s="38"/>
      <c r="R84" s="38"/>
      <c r="S84" s="38"/>
      <c r="T84" s="38"/>
      <c r="U84" s="38"/>
      <c r="V84" s="38"/>
      <c r="W84" s="38"/>
      <c r="X84" s="38"/>
      <c r="Y84" s="38"/>
    </row>
    <row r="85" spans="1:25" x14ac:dyDescent="0.25">
      <c r="A85" s="43">
        <v>46059</v>
      </c>
      <c r="B85" s="38"/>
      <c r="C85" s="38"/>
      <c r="D85" s="38"/>
      <c r="E85" s="38"/>
      <c r="F85" s="38"/>
      <c r="G85" s="38"/>
      <c r="H85" s="38"/>
      <c r="I85" s="38"/>
      <c r="J85" s="38"/>
      <c r="K85" s="38"/>
      <c r="L85" s="38"/>
      <c r="M85" s="38"/>
      <c r="N85" s="38"/>
      <c r="O85" s="38"/>
      <c r="P85" s="38"/>
      <c r="Q85" s="38"/>
      <c r="R85" s="38"/>
      <c r="S85" s="38"/>
      <c r="T85" s="38"/>
      <c r="U85" s="38"/>
      <c r="V85" s="38"/>
      <c r="W85" s="38"/>
      <c r="X85" s="38"/>
      <c r="Y85" s="38"/>
    </row>
    <row r="86" spans="1:25" x14ac:dyDescent="0.25">
      <c r="A86" s="43">
        <v>46060</v>
      </c>
      <c r="B86" s="38"/>
      <c r="C86" s="38"/>
      <c r="D86" s="38"/>
      <c r="E86" s="38"/>
      <c r="F86" s="38"/>
      <c r="G86" s="38"/>
      <c r="H86" s="38"/>
      <c r="I86" s="38"/>
      <c r="J86" s="38"/>
      <c r="K86" s="38"/>
      <c r="L86" s="38"/>
      <c r="M86" s="38"/>
      <c r="N86" s="38"/>
      <c r="O86" s="38"/>
      <c r="P86" s="38"/>
      <c r="Q86" s="38"/>
      <c r="R86" s="38"/>
      <c r="S86" s="38"/>
      <c r="T86" s="38"/>
      <c r="U86" s="38"/>
      <c r="V86" s="38"/>
      <c r="W86" s="38"/>
      <c r="X86" s="38"/>
      <c r="Y86" s="38"/>
    </row>
    <row r="87" spans="1:25" x14ac:dyDescent="0.25">
      <c r="A87" s="43">
        <v>46061</v>
      </c>
      <c r="B87" s="38"/>
      <c r="C87" s="38"/>
      <c r="D87" s="38"/>
      <c r="E87" s="38"/>
      <c r="F87" s="38"/>
      <c r="G87" s="38"/>
      <c r="H87" s="38"/>
      <c r="I87" s="38"/>
      <c r="J87" s="38"/>
      <c r="K87" s="38"/>
      <c r="L87" s="38"/>
      <c r="M87" s="38"/>
      <c r="N87" s="38"/>
      <c r="O87" s="38"/>
      <c r="P87" s="38"/>
      <c r="Q87" s="38"/>
      <c r="R87" s="38"/>
      <c r="S87" s="38"/>
      <c r="T87" s="38"/>
      <c r="U87" s="38"/>
      <c r="V87" s="38"/>
      <c r="W87" s="38"/>
      <c r="X87" s="38"/>
      <c r="Y87" s="38"/>
    </row>
    <row r="88" spans="1:25" x14ac:dyDescent="0.25">
      <c r="A88" s="43">
        <v>46062</v>
      </c>
      <c r="B88" s="38"/>
      <c r="C88" s="38"/>
      <c r="D88" s="38"/>
      <c r="E88" s="38"/>
      <c r="F88" s="38"/>
      <c r="G88" s="38"/>
      <c r="H88" s="38"/>
      <c r="I88" s="38"/>
      <c r="J88" s="38"/>
      <c r="K88" s="38"/>
      <c r="L88" s="38"/>
      <c r="M88" s="38"/>
      <c r="N88" s="38"/>
      <c r="O88" s="38"/>
      <c r="P88" s="38"/>
      <c r="Q88" s="38"/>
      <c r="R88" s="38"/>
      <c r="S88" s="38"/>
      <c r="T88" s="38"/>
      <c r="U88" s="38"/>
      <c r="V88" s="38"/>
      <c r="W88" s="38"/>
      <c r="X88" s="38"/>
      <c r="Y88" s="38"/>
    </row>
    <row r="89" spans="1:25" x14ac:dyDescent="0.25">
      <c r="A89" s="43">
        <v>46063</v>
      </c>
      <c r="B89" s="38"/>
      <c r="C89" s="38"/>
      <c r="D89" s="38"/>
      <c r="E89" s="38"/>
      <c r="F89" s="38"/>
      <c r="G89" s="38"/>
      <c r="H89" s="38"/>
      <c r="I89" s="38"/>
      <c r="J89" s="38"/>
      <c r="K89" s="38"/>
      <c r="L89" s="38"/>
      <c r="M89" s="38"/>
      <c r="N89" s="38"/>
      <c r="O89" s="38"/>
      <c r="P89" s="38"/>
      <c r="Q89" s="38"/>
      <c r="R89" s="38"/>
      <c r="S89" s="38"/>
      <c r="T89" s="38"/>
      <c r="U89" s="38"/>
      <c r="V89" s="38"/>
      <c r="W89" s="38"/>
      <c r="X89" s="38"/>
      <c r="Y89" s="38"/>
    </row>
    <row r="90" spans="1:25" x14ac:dyDescent="0.25">
      <c r="A90" s="43">
        <v>46064</v>
      </c>
      <c r="B90" s="38"/>
      <c r="C90" s="38"/>
      <c r="D90" s="38"/>
      <c r="E90" s="38"/>
      <c r="F90" s="38"/>
      <c r="G90" s="38"/>
      <c r="H90" s="38"/>
      <c r="I90" s="38"/>
      <c r="J90" s="38"/>
      <c r="K90" s="38"/>
      <c r="L90" s="38"/>
      <c r="M90" s="38"/>
      <c r="N90" s="38"/>
      <c r="O90" s="38"/>
      <c r="P90" s="38"/>
      <c r="Q90" s="38"/>
      <c r="R90" s="38"/>
      <c r="S90" s="38"/>
      <c r="T90" s="38"/>
      <c r="U90" s="38"/>
      <c r="V90" s="38"/>
      <c r="W90" s="38"/>
      <c r="X90" s="38"/>
      <c r="Y90" s="38"/>
    </row>
    <row r="91" spans="1:25" x14ac:dyDescent="0.25">
      <c r="A91" s="43">
        <v>46065</v>
      </c>
      <c r="B91" s="38"/>
      <c r="C91" s="38"/>
      <c r="D91" s="38"/>
      <c r="E91" s="38"/>
      <c r="F91" s="38"/>
      <c r="G91" s="38"/>
      <c r="H91" s="38"/>
      <c r="I91" s="38"/>
      <c r="J91" s="38"/>
      <c r="K91" s="38"/>
      <c r="L91" s="38"/>
      <c r="M91" s="38"/>
      <c r="N91" s="38"/>
      <c r="O91" s="38"/>
      <c r="P91" s="38"/>
      <c r="Q91" s="38"/>
      <c r="R91" s="38"/>
      <c r="S91" s="38"/>
      <c r="T91" s="38"/>
      <c r="U91" s="38"/>
      <c r="V91" s="38"/>
      <c r="W91" s="38"/>
      <c r="X91" s="38"/>
      <c r="Y91" s="38"/>
    </row>
    <row r="92" spans="1:25" x14ac:dyDescent="0.25">
      <c r="A92" s="43">
        <v>46066</v>
      </c>
      <c r="B92" s="38"/>
      <c r="C92" s="38"/>
      <c r="D92" s="38"/>
      <c r="E92" s="38"/>
      <c r="F92" s="38"/>
      <c r="G92" s="38"/>
      <c r="H92" s="38"/>
      <c r="I92" s="38"/>
      <c r="J92" s="38"/>
      <c r="K92" s="38"/>
      <c r="L92" s="38"/>
      <c r="M92" s="38"/>
      <c r="N92" s="38"/>
      <c r="O92" s="38"/>
      <c r="P92" s="38"/>
      <c r="Q92" s="38"/>
      <c r="R92" s="38"/>
      <c r="S92" s="38"/>
      <c r="T92" s="38"/>
      <c r="U92" s="38"/>
      <c r="V92" s="38"/>
      <c r="W92" s="38"/>
      <c r="X92" s="38"/>
      <c r="Y92" s="38"/>
    </row>
    <row r="93" spans="1:25" x14ac:dyDescent="0.25">
      <c r="A93" s="43">
        <v>46067</v>
      </c>
      <c r="B93" s="38"/>
      <c r="C93" s="38"/>
      <c r="D93" s="38"/>
      <c r="E93" s="38"/>
      <c r="F93" s="38"/>
      <c r="G93" s="38"/>
      <c r="H93" s="38"/>
      <c r="I93" s="38"/>
      <c r="J93" s="38"/>
      <c r="K93" s="38"/>
      <c r="L93" s="38"/>
      <c r="M93" s="38"/>
      <c r="N93" s="38"/>
      <c r="O93" s="38"/>
      <c r="P93" s="38"/>
      <c r="Q93" s="38"/>
      <c r="R93" s="38"/>
      <c r="S93" s="38"/>
      <c r="T93" s="38"/>
      <c r="U93" s="38"/>
      <c r="V93" s="38"/>
      <c r="W93" s="38"/>
      <c r="X93" s="38"/>
      <c r="Y93" s="38"/>
    </row>
    <row r="94" spans="1:25" x14ac:dyDescent="0.25">
      <c r="A94" s="43">
        <v>46068</v>
      </c>
      <c r="B94" s="38"/>
      <c r="C94" s="38"/>
      <c r="D94" s="38"/>
      <c r="E94" s="38"/>
      <c r="F94" s="38"/>
      <c r="G94" s="38"/>
      <c r="H94" s="38"/>
      <c r="I94" s="38"/>
      <c r="J94" s="38"/>
      <c r="K94" s="38"/>
      <c r="L94" s="38"/>
      <c r="M94" s="38"/>
      <c r="N94" s="38"/>
      <c r="O94" s="38"/>
      <c r="P94" s="38"/>
      <c r="Q94" s="38"/>
      <c r="R94" s="38"/>
      <c r="S94" s="38"/>
      <c r="T94" s="38"/>
      <c r="U94" s="38"/>
      <c r="V94" s="38"/>
      <c r="W94" s="38"/>
      <c r="X94" s="38"/>
      <c r="Y94" s="38"/>
    </row>
    <row r="95" spans="1:25" x14ac:dyDescent="0.25">
      <c r="A95" s="43">
        <v>46069</v>
      </c>
      <c r="B95" s="38"/>
      <c r="C95" s="38"/>
      <c r="D95" s="38"/>
      <c r="E95" s="38"/>
      <c r="F95" s="38"/>
      <c r="G95" s="38"/>
      <c r="H95" s="38"/>
      <c r="I95" s="38"/>
      <c r="J95" s="38"/>
      <c r="K95" s="38"/>
      <c r="L95" s="38"/>
      <c r="M95" s="38"/>
      <c r="N95" s="38"/>
      <c r="O95" s="38"/>
      <c r="P95" s="38"/>
      <c r="Q95" s="38"/>
      <c r="R95" s="38"/>
      <c r="S95" s="38"/>
      <c r="T95" s="38"/>
      <c r="U95" s="38"/>
      <c r="V95" s="38"/>
      <c r="W95" s="38"/>
      <c r="X95" s="38"/>
      <c r="Y95" s="38"/>
    </row>
    <row r="96" spans="1:25" x14ac:dyDescent="0.25">
      <c r="A96" s="43">
        <v>46070</v>
      </c>
      <c r="B96" s="38"/>
      <c r="C96" s="38"/>
      <c r="D96" s="38"/>
      <c r="E96" s="38"/>
      <c r="F96" s="38"/>
      <c r="G96" s="38"/>
      <c r="H96" s="38"/>
      <c r="I96" s="38"/>
      <c r="J96" s="38"/>
      <c r="K96" s="38"/>
      <c r="L96" s="38"/>
      <c r="M96" s="38"/>
      <c r="N96" s="38"/>
      <c r="O96" s="38"/>
      <c r="P96" s="38"/>
      <c r="Q96" s="38"/>
      <c r="R96" s="38"/>
      <c r="S96" s="38"/>
      <c r="T96" s="38"/>
      <c r="U96" s="38"/>
      <c r="V96" s="38"/>
      <c r="W96" s="38"/>
      <c r="X96" s="38"/>
      <c r="Y96" s="38"/>
    </row>
    <row r="97" spans="1:25" x14ac:dyDescent="0.25">
      <c r="A97" s="43">
        <v>46071</v>
      </c>
      <c r="B97" s="38"/>
      <c r="C97" s="38"/>
      <c r="D97" s="38"/>
      <c r="E97" s="38"/>
      <c r="F97" s="38"/>
      <c r="G97" s="38"/>
      <c r="H97" s="38"/>
      <c r="I97" s="38"/>
      <c r="J97" s="38"/>
      <c r="K97" s="38"/>
      <c r="L97" s="38"/>
      <c r="M97" s="38"/>
      <c r="N97" s="38"/>
      <c r="O97" s="38"/>
      <c r="P97" s="38"/>
      <c r="Q97" s="38"/>
      <c r="R97" s="38"/>
      <c r="S97" s="38"/>
      <c r="T97" s="38"/>
      <c r="U97" s="38"/>
      <c r="V97" s="38"/>
      <c r="W97" s="38"/>
      <c r="X97" s="38"/>
      <c r="Y97" s="38"/>
    </row>
    <row r="98" spans="1:25" x14ac:dyDescent="0.25">
      <c r="A98" s="43">
        <v>46072</v>
      </c>
      <c r="B98" s="38"/>
      <c r="C98" s="38"/>
      <c r="D98" s="38"/>
      <c r="E98" s="38"/>
      <c r="F98" s="38"/>
      <c r="G98" s="38"/>
      <c r="H98" s="38"/>
      <c r="I98" s="38"/>
      <c r="J98" s="38"/>
      <c r="K98" s="38"/>
      <c r="L98" s="38"/>
      <c r="M98" s="38"/>
      <c r="N98" s="38"/>
      <c r="O98" s="38"/>
      <c r="P98" s="38"/>
      <c r="Q98" s="38"/>
      <c r="R98" s="38"/>
      <c r="S98" s="38"/>
      <c r="T98" s="38"/>
      <c r="U98" s="38"/>
      <c r="V98" s="38"/>
      <c r="W98" s="38"/>
      <c r="X98" s="38"/>
      <c r="Y98" s="38"/>
    </row>
    <row r="99" spans="1:25" x14ac:dyDescent="0.25">
      <c r="A99" s="43">
        <v>46073</v>
      </c>
      <c r="B99" s="38"/>
      <c r="C99" s="38"/>
      <c r="D99" s="38"/>
      <c r="E99" s="38"/>
      <c r="F99" s="38"/>
      <c r="G99" s="38"/>
      <c r="H99" s="38"/>
      <c r="I99" s="38"/>
      <c r="J99" s="38"/>
      <c r="K99" s="38"/>
      <c r="L99" s="38"/>
      <c r="M99" s="38"/>
      <c r="N99" s="38"/>
      <c r="O99" s="38"/>
      <c r="P99" s="38"/>
      <c r="Q99" s="38"/>
      <c r="R99" s="38"/>
      <c r="S99" s="38"/>
      <c r="T99" s="38"/>
      <c r="U99" s="38"/>
      <c r="V99" s="38"/>
      <c r="W99" s="38"/>
      <c r="X99" s="38"/>
      <c r="Y99" s="38"/>
    </row>
    <row r="100" spans="1:25" x14ac:dyDescent="0.25">
      <c r="A100" s="43">
        <v>46074</v>
      </c>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row>
    <row r="101" spans="1:25" x14ac:dyDescent="0.25">
      <c r="A101" s="43">
        <v>46075</v>
      </c>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row>
    <row r="102" spans="1:25" x14ac:dyDescent="0.25">
      <c r="A102" s="43">
        <v>46076</v>
      </c>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row>
    <row r="103" spans="1:25" x14ac:dyDescent="0.25">
      <c r="A103" s="43">
        <v>46077</v>
      </c>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row>
    <row r="104" spans="1:25" x14ac:dyDescent="0.25">
      <c r="A104" s="43">
        <v>46078</v>
      </c>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row>
    <row r="105" spans="1:25" x14ac:dyDescent="0.25">
      <c r="A105" s="43">
        <v>46079</v>
      </c>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row>
    <row r="106" spans="1:25" x14ac:dyDescent="0.25">
      <c r="A106" s="43">
        <v>46080</v>
      </c>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row>
    <row r="107" spans="1:25" x14ac:dyDescent="0.25">
      <c r="A107" s="43">
        <v>46081</v>
      </c>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row>
    <row r="108" spans="1:25" x14ac:dyDescent="0.25">
      <c r="A108" s="43">
        <v>46082</v>
      </c>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row>
    <row r="109" spans="1:25" x14ac:dyDescent="0.25">
      <c r="A109" s="43">
        <v>46083</v>
      </c>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row>
    <row r="110" spans="1:25" x14ac:dyDescent="0.25">
      <c r="A110" s="43">
        <v>46084</v>
      </c>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row>
    <row r="111" spans="1:25" x14ac:dyDescent="0.25">
      <c r="A111" s="43">
        <v>46085</v>
      </c>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row>
    <row r="112" spans="1:25" x14ac:dyDescent="0.25">
      <c r="A112" s="43">
        <v>46086</v>
      </c>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row>
    <row r="113" spans="1:25" x14ac:dyDescent="0.25">
      <c r="A113" s="43">
        <v>46087</v>
      </c>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row>
    <row r="114" spans="1:25" x14ac:dyDescent="0.25">
      <c r="A114" s="43">
        <v>46088</v>
      </c>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row>
    <row r="115" spans="1:25" x14ac:dyDescent="0.25">
      <c r="A115" s="43">
        <v>46089</v>
      </c>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row>
    <row r="116" spans="1:25" x14ac:dyDescent="0.25">
      <c r="A116" s="43">
        <v>46090</v>
      </c>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row>
    <row r="117" spans="1:25" x14ac:dyDescent="0.25">
      <c r="A117" s="43">
        <v>46091</v>
      </c>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row>
    <row r="118" spans="1:25" x14ac:dyDescent="0.25">
      <c r="A118" s="43">
        <v>46092</v>
      </c>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row>
    <row r="119" spans="1:25" x14ac:dyDescent="0.25">
      <c r="A119" s="43">
        <v>46093</v>
      </c>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row>
    <row r="120" spans="1:25" x14ac:dyDescent="0.25">
      <c r="A120" s="43">
        <v>46094</v>
      </c>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row>
    <row r="121" spans="1:25" x14ac:dyDescent="0.25">
      <c r="A121" s="43">
        <v>46095</v>
      </c>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row>
    <row r="122" spans="1:25" x14ac:dyDescent="0.25">
      <c r="A122" s="43">
        <v>46096</v>
      </c>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row>
    <row r="123" spans="1:25" x14ac:dyDescent="0.25">
      <c r="A123" s="43">
        <v>46097</v>
      </c>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row>
    <row r="124" spans="1:25" x14ac:dyDescent="0.25">
      <c r="A124" s="43">
        <v>46098</v>
      </c>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row>
    <row r="125" spans="1:25" x14ac:dyDescent="0.25">
      <c r="A125" s="43">
        <v>46099</v>
      </c>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row>
    <row r="126" spans="1:25" x14ac:dyDescent="0.25">
      <c r="A126" s="43">
        <v>46100</v>
      </c>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row>
    <row r="127" spans="1:25" x14ac:dyDescent="0.25">
      <c r="A127" s="43">
        <v>46101</v>
      </c>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row>
    <row r="128" spans="1:25" x14ac:dyDescent="0.25">
      <c r="A128" s="43">
        <v>46102</v>
      </c>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row>
    <row r="129" spans="1:25" x14ac:dyDescent="0.25">
      <c r="A129" s="43">
        <v>46103</v>
      </c>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row>
    <row r="130" spans="1:25" x14ac:dyDescent="0.25">
      <c r="A130" s="43">
        <v>46104</v>
      </c>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row>
    <row r="131" spans="1:25" x14ac:dyDescent="0.25">
      <c r="A131" s="43">
        <v>46105</v>
      </c>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row>
    <row r="132" spans="1:25" x14ac:dyDescent="0.25">
      <c r="A132" s="43">
        <v>46106</v>
      </c>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row>
    <row r="133" spans="1:25" x14ac:dyDescent="0.25">
      <c r="A133" s="43">
        <v>46107</v>
      </c>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row>
    <row r="134" spans="1:25" x14ac:dyDescent="0.25">
      <c r="A134" s="43">
        <v>46108</v>
      </c>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row>
    <row r="135" spans="1:25" x14ac:dyDescent="0.25">
      <c r="A135" s="43">
        <v>46109</v>
      </c>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row>
    <row r="136" spans="1:25" x14ac:dyDescent="0.25">
      <c r="A136" s="43">
        <v>46110</v>
      </c>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row>
    <row r="137" spans="1:25" x14ac:dyDescent="0.25">
      <c r="A137" s="43">
        <v>46111</v>
      </c>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row>
    <row r="138" spans="1:25" x14ac:dyDescent="0.25">
      <c r="A138" s="43">
        <v>46112</v>
      </c>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row>
    <row r="139" spans="1:25" x14ac:dyDescent="0.25">
      <c r="A139" s="17"/>
    </row>
    <row r="140" spans="1:25" x14ac:dyDescent="0.25">
      <c r="A140" s="17"/>
    </row>
    <row r="141" spans="1:25" x14ac:dyDescent="0.25">
      <c r="A141" s="17"/>
    </row>
    <row r="142" spans="1:25" x14ac:dyDescent="0.25">
      <c r="A142" s="17"/>
    </row>
    <row r="143" spans="1:25" x14ac:dyDescent="0.25">
      <c r="A143" s="17"/>
    </row>
    <row r="144" spans="1:25" x14ac:dyDescent="0.25">
      <c r="A144" s="17"/>
    </row>
    <row r="145" spans="1:1" x14ac:dyDescent="0.25">
      <c r="A145" s="17"/>
    </row>
    <row r="146" spans="1:1" x14ac:dyDescent="0.25">
      <c r="A146" s="17"/>
    </row>
    <row r="147" spans="1:1" x14ac:dyDescent="0.25">
      <c r="A147" s="17"/>
    </row>
  </sheetData>
  <sheetProtection sheet="1" objects="1" scenarios="1"/>
  <sortState ref="A2:Y75">
    <sortCondition ref="A2:A75"/>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116"/>
  <sheetViews>
    <sheetView workbookViewId="0">
      <selection activeCell="J2" sqref="J2"/>
    </sheetView>
  </sheetViews>
  <sheetFormatPr defaultRowHeight="15" x14ac:dyDescent="0.25"/>
  <cols>
    <col min="3" max="3" width="10.42578125" bestFit="1" customWidth="1"/>
    <col min="4" max="4" width="6.85546875" bestFit="1" customWidth="1"/>
    <col min="5" max="5" width="10.7109375" customWidth="1"/>
    <col min="6" max="6" width="13.7109375" customWidth="1"/>
    <col min="7" max="7" width="12.42578125" customWidth="1"/>
    <col min="8" max="8" width="10.140625" customWidth="1"/>
    <col min="24" max="24" width="10" bestFit="1" customWidth="1"/>
  </cols>
  <sheetData>
    <row r="1" spans="1:24" ht="30" x14ac:dyDescent="0.25">
      <c r="A1" s="34" t="s">
        <v>125</v>
      </c>
      <c r="B1" s="34" t="s">
        <v>126</v>
      </c>
      <c r="C1" s="34" t="s">
        <v>42</v>
      </c>
      <c r="D1" s="34" t="s">
        <v>43</v>
      </c>
      <c r="E1" s="34" t="s">
        <v>137</v>
      </c>
      <c r="F1" s="34" t="s">
        <v>138</v>
      </c>
      <c r="G1" s="34" t="s">
        <v>139</v>
      </c>
      <c r="H1" s="34" t="s">
        <v>18</v>
      </c>
      <c r="I1" s="34"/>
      <c r="J1" s="34" t="s">
        <v>11</v>
      </c>
      <c r="K1" s="34" t="s">
        <v>12</v>
      </c>
      <c r="L1" s="34" t="s">
        <v>13</v>
      </c>
      <c r="M1" s="34" t="s">
        <v>14</v>
      </c>
      <c r="N1" s="34" t="s">
        <v>127</v>
      </c>
      <c r="O1" s="34" t="s">
        <v>128</v>
      </c>
      <c r="P1" s="34" t="s">
        <v>129</v>
      </c>
      <c r="Q1" s="34" t="s">
        <v>130</v>
      </c>
      <c r="R1" s="34" t="s">
        <v>131</v>
      </c>
      <c r="S1" s="34" t="s">
        <v>132</v>
      </c>
      <c r="T1" s="34" t="s">
        <v>133</v>
      </c>
      <c r="U1" s="34" t="s">
        <v>134</v>
      </c>
      <c r="V1" s="34" t="s">
        <v>18</v>
      </c>
      <c r="W1" s="34" t="s">
        <v>41</v>
      </c>
      <c r="X1" s="58">
        <v>0.56786000000000003</v>
      </c>
    </row>
    <row r="2" spans="1:24" x14ac:dyDescent="0.25">
      <c r="A2" s="19">
        <v>1</v>
      </c>
      <c r="B2" s="19"/>
      <c r="C2" s="43">
        <v>45994</v>
      </c>
      <c r="D2" s="44" t="s">
        <v>24</v>
      </c>
      <c r="E2" s="36">
        <v>38.880000000000003</v>
      </c>
      <c r="F2" s="36">
        <v>7.04</v>
      </c>
      <c r="G2" s="36">
        <v>31.84</v>
      </c>
      <c r="H2" s="45">
        <v>18.079999999999998</v>
      </c>
      <c r="J2" s="48">
        <f>(SUM(Data!C13,Data!C14,Data!C15,Data!C18,Data!C19) - MIN(Data!C13,Data!C14,Data!C15,Data!C18,Data!C19) - MAX(Data!C13,Data!C14,Data!C15,Data!C18,Data!C19))/3 + (SUM(Data!D13,Data!D14,Data!D15,Data!D18,Data!D19) - MIN(Data!D13,Data!D14,Data!D15,Data!D18,Data!D19) - MAX(Data!D13,Data!D14,Data!D15,Data!D18,Data!D19))/3 + (SUM(Data!E13,Data!E14,Data!E15,Data!E18,Data!E19) - MIN(Data!E13,Data!E14,Data!E15,Data!E18,Data!E19) - MAX(Data!E13,Data!E14,Data!E15,Data!E18,Data!E19))/3</f>
        <v>5.1700000000000008</v>
      </c>
      <c r="K2" s="48">
        <f>(SUM(Data!H13,Data!H14,Data!H15,Data!H18,Data!H19) - MIN(Data!H13,Data!H14,Data!H15,Data!H18,Data!H19) - MAX(Data!H13,Data!H14,Data!H15,Data!H18,Data!H19))/3 + (SUM(Data!I13,Data!I14,Data!I15,Data!I18,Data!I19) - MIN(Data!I13,Data!I14,Data!I15,Data!I18,Data!I19) - MAX(Data!I13,Data!I14,Data!I15,Data!I18,Data!I19))/3 + (SUM(Data!J13,Data!J14,Data!J15,Data!J18,Data!J19) - MIN(Data!J13,Data!J14,Data!J15,Data!J18,Data!J19) - MAX(Data!J13,Data!J14,Data!J15,Data!J18,Data!J19))/3 + (SUM(Data!K13,Data!K14,Data!K15,Data!K18,Data!K19) - MIN(Data!K13,Data!K14,Data!K15,Data!K18,Data!K19) - MAX(Data!K13,Data!K14,Data!K15,Data!K18,Data!K19))/3</f>
        <v>25.076666666666668</v>
      </c>
      <c r="L2" s="48">
        <f>SUM(Data!C20:E20)</f>
        <v>36.269999999999996</v>
      </c>
      <c r="M2" s="48">
        <f>SUM(Data!H20:K20)</f>
        <v>7.05</v>
      </c>
      <c r="N2" s="23">
        <f t="shared" ref="N2" si="0">IF(L2-J2&lt;0,0,L2-J2)</f>
        <v>31.099999999999994</v>
      </c>
      <c r="O2" s="23">
        <f t="shared" ref="O2" si="1">J2*2</f>
        <v>10.340000000000002</v>
      </c>
      <c r="P2" s="23">
        <f>K2+IF(D2="AM", N2/3*4,N2*2)</f>
        <v>66.543333333333322</v>
      </c>
      <c r="Q2" s="23">
        <f>K2+IF(D2="AM",O2/3*4,O2*2)</f>
        <v>38.863333333333337</v>
      </c>
      <c r="R2" s="23">
        <f t="shared" ref="R2" si="2">P2-M2</f>
        <v>59.493333333333325</v>
      </c>
      <c r="S2" s="23">
        <f t="shared" ref="S2" si="3">Q2-M2</f>
        <v>31.813333333333336</v>
      </c>
      <c r="T2" s="23">
        <f>IF(R2&lt;=40,R2*$X$1,0)</f>
        <v>0</v>
      </c>
      <c r="U2" s="23">
        <f>IF(R2&lt;40,0,S2*$X$1)</f>
        <v>18.065519466666668</v>
      </c>
      <c r="V2" s="23">
        <f t="shared" ref="V2:V31" si="4">T2+U2</f>
        <v>18.065519466666668</v>
      </c>
      <c r="W2" s="33">
        <f>H2-V2</f>
        <v>1.4480533333330214E-2</v>
      </c>
    </row>
    <row r="3" spans="1:24" x14ac:dyDescent="0.25">
      <c r="A3" s="19">
        <v>2</v>
      </c>
      <c r="B3" s="19"/>
      <c r="C3" s="43">
        <v>45996</v>
      </c>
      <c r="D3" s="44" t="s">
        <v>24</v>
      </c>
      <c r="E3" s="36">
        <v>45.6</v>
      </c>
      <c r="F3" s="36">
        <v>7.9</v>
      </c>
      <c r="G3" s="36">
        <v>37.69</v>
      </c>
      <c r="H3" s="45">
        <v>21.4</v>
      </c>
      <c r="J3" s="48">
        <f>(SUM(Data!C14,Data!C15,Data!C18,Data!C19,Data!C21) - MIN(Data!C14,Data!C15,Data!C18,Data!C19,Data!C21) - MAX(Data!C14,Data!C15,Data!C18,Data!C19,Data!C21))/3 + (SUM(Data!D14,Data!D15,Data!D18,Data!D19,Data!D21) - MIN(Data!D14,Data!D15,Data!D18,Data!D19,Data!D21) - MAX(Data!D14,Data!D15,Data!D18,Data!D19,Data!D21))/3 + (SUM(Data!E14,Data!E15,Data!E18,Data!E19,Data!E21) - MIN(Data!E14,Data!E15,Data!E18,Data!E19,Data!E21) - MAX(Data!E14,Data!E15,Data!E18,Data!E19,Data!E21))/3</f>
        <v>4.5766666666666671</v>
      </c>
      <c r="K3" s="48">
        <f>(SUM(Data!H14,Data!H15,Data!H18,Data!H19,Data!H21) - MIN(Data!H14,Data!H15,Data!H18,Data!H19,Data!H21) - MAX(Data!H14,Data!H15,Data!H18,Data!H19,Data!H21))/3 + (SUM(Data!I14,Data!I15,Data!I18,Data!I19,Data!I21) - MIN(Data!I14,Data!I15,Data!I18,Data!I19,Data!I21) - MAX(Data!I14,Data!I15,Data!I18,Data!I19,Data!I21))/3 + (SUM(Data!J14,Data!J15,Data!J18,Data!J19,Data!J21) - MIN(Data!J14,Data!J15,Data!J18,Data!J19,Data!J21) - MAX(Data!J14,Data!J15,Data!J18,Data!J19,Data!J21))/3 + (SUM(Data!K14,Data!K15,Data!K18,Data!K19,Data!K21) - MIN(Data!K14,Data!K15,Data!K18,Data!K19,Data!K21) - MAX(Data!K14,Data!K15,Data!K18,Data!K19,Data!K21))/3</f>
        <v>26.946666666666669</v>
      </c>
      <c r="L3" s="48">
        <f>SUM(Data!C22:E22)</f>
        <v>18.55</v>
      </c>
      <c r="M3" s="48">
        <f>SUM(Data!H22:K22)</f>
        <v>7.9</v>
      </c>
      <c r="N3" s="23">
        <f t="shared" ref="N3:N31" si="5">IF(L3-J3&lt;0,0,L3-J3)</f>
        <v>13.973333333333333</v>
      </c>
      <c r="O3" s="23">
        <f t="shared" ref="O3:O31" si="6">J3*2</f>
        <v>9.1533333333333342</v>
      </c>
      <c r="P3" s="23">
        <f t="shared" ref="P3:P31" si="7">K3+IF(D3="AM", N3/3*4,N3*2)</f>
        <v>45.577777777777783</v>
      </c>
      <c r="Q3" s="23">
        <f t="shared" ref="Q3:Q31" si="8">K3+IF(D3="AM",O3/3*4,O3*2)</f>
        <v>39.151111111111113</v>
      </c>
      <c r="R3" s="23">
        <f t="shared" ref="R3:R31" si="9">P3-M3</f>
        <v>37.677777777777784</v>
      </c>
      <c r="S3" s="23">
        <f t="shared" ref="S3:S31" si="10">Q3-M3</f>
        <v>31.251111111111115</v>
      </c>
      <c r="T3" s="23">
        <f t="shared" ref="T3:T31" si="11">IF(R3&lt;=40,R3*$X$1,0)</f>
        <v>21.395702888888895</v>
      </c>
      <c r="U3" s="23">
        <f t="shared" ref="U3:U31" si="12">IF(R3&lt;40,0,S3*$X$1)</f>
        <v>0</v>
      </c>
      <c r="V3" s="23">
        <f t="shared" si="4"/>
        <v>21.395702888888895</v>
      </c>
      <c r="W3" s="33">
        <f t="shared" ref="W3:W31" si="13">H3-V3</f>
        <v>4.2971111111036464E-3</v>
      </c>
    </row>
    <row r="4" spans="1:24" x14ac:dyDescent="0.25">
      <c r="A4" s="19">
        <v>3</v>
      </c>
      <c r="B4" s="19"/>
      <c r="C4" s="43">
        <v>45999</v>
      </c>
      <c r="D4" s="44" t="s">
        <v>24</v>
      </c>
      <c r="E4" s="36">
        <v>39.82</v>
      </c>
      <c r="F4" s="36">
        <v>6.11</v>
      </c>
      <c r="G4" s="36">
        <v>33.700000000000003</v>
      </c>
      <c r="H4" s="45">
        <v>19.13</v>
      </c>
      <c r="J4" s="48">
        <f>(SUM(Data!C14,Data!C15,Data!C18,Data!C19,Data!C21) - MIN(Data!C14,Data!C15,Data!C18,Data!C19,Data!C21) - MAX(Data!C14,Data!C15,Data!C18,Data!C19,Data!C21))/3 + (SUM(Data!D14,Data!D15,Data!D18,Data!D19,Data!D21) - MIN(Data!D14,Data!D15,Data!D18,Data!D19,Data!D21) - MAX(Data!D14,Data!D15,Data!D18,Data!D19,Data!D21))/3 + (SUM(Data!E14,Data!E15,Data!E18,Data!E19,Data!E21) - MIN(Data!E14,Data!E15,Data!E18,Data!E19,Data!E21) - MAX(Data!E14,Data!E15,Data!E18,Data!E19,Data!E21))/3</f>
        <v>4.5766666666666671</v>
      </c>
      <c r="K4" s="48">
        <f>(SUM(Data!H14,Data!H15,Data!H18,Data!H19,Data!H21) - MIN(Data!H14,Data!H15,Data!H18,Data!H19,Data!H21) - MAX(Data!H14,Data!H15,Data!H18,Data!H19,Data!H21))/3 + (SUM(Data!I14,Data!I15,Data!I18,Data!I19,Data!I21) - MIN(Data!I14,Data!I15,Data!I18,Data!I19,Data!I21) - MAX(Data!I14,Data!I15,Data!I18,Data!I19,Data!I21))/3 + (SUM(Data!J14,Data!J15,Data!J18,Data!J19,Data!J21) - MIN(Data!J14,Data!J15,Data!J18,Data!J19,Data!J21) - MAX(Data!J14,Data!J15,Data!J18,Data!J19,Data!J21))/3 + (SUM(Data!K14,Data!K15,Data!K18,Data!K19,Data!K21) - MIN(Data!K14,Data!K15,Data!K18,Data!K19,Data!K21) - MAX(Data!K14,Data!K15,Data!K18,Data!K19,Data!K21))/3</f>
        <v>26.946666666666669</v>
      </c>
      <c r="L4" s="48">
        <f>SUM(Data!C25:E25)</f>
        <v>14.22</v>
      </c>
      <c r="M4" s="48">
        <f>SUM(Data!H25:K25)</f>
        <v>6.1199999999999992</v>
      </c>
      <c r="N4" s="23">
        <f t="shared" si="5"/>
        <v>9.6433333333333344</v>
      </c>
      <c r="O4" s="23">
        <f t="shared" si="6"/>
        <v>9.1533333333333342</v>
      </c>
      <c r="P4" s="23">
        <f t="shared" si="7"/>
        <v>39.804444444444449</v>
      </c>
      <c r="Q4" s="23">
        <f t="shared" si="8"/>
        <v>39.151111111111113</v>
      </c>
      <c r="R4" s="23">
        <f t="shared" si="9"/>
        <v>33.684444444444452</v>
      </c>
      <c r="S4" s="23">
        <f t="shared" si="10"/>
        <v>33.031111111111116</v>
      </c>
      <c r="T4" s="23">
        <f t="shared" si="11"/>
        <v>19.128048622222227</v>
      </c>
      <c r="U4" s="23">
        <f t="shared" si="12"/>
        <v>0</v>
      </c>
      <c r="V4" s="23">
        <f t="shared" si="4"/>
        <v>19.128048622222227</v>
      </c>
      <c r="W4" s="33">
        <f t="shared" si="13"/>
        <v>1.9513777777717678E-3</v>
      </c>
    </row>
    <row r="5" spans="1:24" x14ac:dyDescent="0.25">
      <c r="A5" s="19">
        <v>4</v>
      </c>
      <c r="B5" s="19"/>
      <c r="C5" s="43">
        <v>45999</v>
      </c>
      <c r="D5" s="44" t="s">
        <v>5</v>
      </c>
      <c r="E5" s="36">
        <v>44.52</v>
      </c>
      <c r="F5" s="36">
        <v>6.37</v>
      </c>
      <c r="G5" s="36">
        <v>38.15</v>
      </c>
      <c r="H5" s="45">
        <v>21.66</v>
      </c>
      <c r="J5" s="48">
        <f>(SUM(Data!N18,Data!N19,Data!N20,Data!N21,Data!N22) - MIN(Data!N18,Data!N19,Data!N20,Data!N21,Data!N22) - MAX(Data!N18,Data!N19,Data!N20,Data!N21,Data!N22))/3 + (SUM(Data!O18,Data!O19,Data!O20,Data!O21,Data!O22) - MIN(Data!O18,Data!O19,Data!O20,Data!O21,Data!O22) - MAX(Data!O18,Data!O19,Data!O20,Data!O21,Data!O22))/3</f>
        <v>3.8833333333333324</v>
      </c>
      <c r="K5" s="48">
        <f>(SUM(Data!R18,Data!R19,Data!R20,Data!R21,Data!R22) - MIN(Data!R18,Data!R19,Data!R20,Data!R21,Data!R22) - MAX(Data!R18,Data!R19,Data!R20,Data!R21,Data!R22))/3 + (SUM(Data!S18,Data!S19,Data!S20,Data!S21,Data!S22) - MIN(Data!S18,Data!S19,Data!S20,Data!S21,Data!S22) - MAX(Data!S18,Data!S19,Data!S20,Data!S21,Data!S22))/3 + (SUM(Data!T18,Data!T19,Data!T20,Data!T21,Data!T22) - MIN(Data!T18,Data!T19,Data!T20,Data!T21,Data!T22) - MAX(Data!T18,Data!T19,Data!T20,Data!T21,Data!T22))/3 + (SUM(Data!U18,Data!U19,Data!U20,Data!U21,Data!U22) - MIN(Data!U18,Data!U19,Data!U20,Data!U21,Data!U22) - MAX(Data!U18,Data!U19,Data!U20,Data!U21,Data!U22))/3</f>
        <v>33.616666666666667</v>
      </c>
      <c r="L5" s="48">
        <f>SUM(Data!N25:O25)</f>
        <v>13.23</v>
      </c>
      <c r="M5" s="48">
        <f>SUM(Data!R25:U25)</f>
        <v>6.36</v>
      </c>
      <c r="N5" s="23">
        <f t="shared" si="5"/>
        <v>9.3466666666666676</v>
      </c>
      <c r="O5" s="23">
        <f t="shared" si="6"/>
        <v>7.7666666666666648</v>
      </c>
      <c r="P5" s="23">
        <f t="shared" si="7"/>
        <v>52.31</v>
      </c>
      <c r="Q5" s="23">
        <f t="shared" si="8"/>
        <v>49.15</v>
      </c>
      <c r="R5" s="23">
        <f t="shared" si="9"/>
        <v>45.95</v>
      </c>
      <c r="S5" s="23">
        <f t="shared" si="10"/>
        <v>42.79</v>
      </c>
      <c r="T5" s="23">
        <f t="shared" si="11"/>
        <v>0</v>
      </c>
      <c r="U5" s="23">
        <f t="shared" si="12"/>
        <v>24.298729399999999</v>
      </c>
      <c r="V5" s="23">
        <f t="shared" si="4"/>
        <v>24.298729399999999</v>
      </c>
      <c r="W5" s="33">
        <f t="shared" si="13"/>
        <v>-2.638729399999999</v>
      </c>
    </row>
    <row r="6" spans="1:24" x14ac:dyDescent="0.25">
      <c r="A6" s="19">
        <v>5</v>
      </c>
      <c r="B6" s="19"/>
      <c r="C6" s="43">
        <v>46000</v>
      </c>
      <c r="D6" s="44" t="s">
        <v>24</v>
      </c>
      <c r="E6" s="36">
        <v>39.15</v>
      </c>
      <c r="F6" s="36">
        <v>5.47</v>
      </c>
      <c r="G6" s="36">
        <v>33.68</v>
      </c>
      <c r="H6" s="45">
        <v>19.12</v>
      </c>
      <c r="J6" s="48">
        <f>(SUM(Data!C14,Data!C15,Data!C18,Data!C19,Data!C21) - MIN(Data!C14,Data!C15,Data!C18,Data!C19,Data!C21) - MAX(Data!C14,Data!C15,Data!C18,Data!C19,Data!C21))/3 + (SUM(Data!D14,Data!D15,Data!D18,Data!D19,Data!D21) - MIN(Data!D14,Data!D15,Data!D18,Data!D19,Data!D21) - MAX(Data!D14,Data!D15,Data!D18,Data!D19,Data!D21))/3 + (SUM(Data!E14,Data!E15,Data!E18,Data!E19,Data!E21) - MIN(Data!E14,Data!E15,Data!E18,Data!E19,Data!E21) - MAX(Data!E14,Data!E15,Data!E18,Data!E19,Data!E21))/3</f>
        <v>4.5766666666666671</v>
      </c>
      <c r="K6" s="48">
        <f>(SUM(Data!H14,Data!H15,Data!H18,Data!H19,Data!H21) - MIN(Data!H14,Data!H15,Data!H18,Data!H19,Data!H21) - MAX(Data!H14,Data!H15,Data!H18,Data!H19,Data!H21))/3 + (SUM(Data!I14,Data!I15,Data!I18,Data!I19,Data!I21) - MIN(Data!I14,Data!I15,Data!I18,Data!I19,Data!I21) - MAX(Data!I14,Data!I15,Data!I18,Data!I19,Data!I21))/3 + (SUM(Data!J14,Data!J15,Data!J18,Data!J19,Data!J21) - MIN(Data!J14,Data!J15,Data!J18,Data!J19,Data!J21) - MAX(Data!J14,Data!J15,Data!J18,Data!J19,Data!J21))/3 + (SUM(Data!K14,Data!K15,Data!K18,Data!K19,Data!K21) - MIN(Data!K14,Data!K15,Data!K18,Data!K19,Data!K21) - MAX(Data!K14,Data!K15,Data!K18,Data!K19,Data!K21))/3</f>
        <v>26.946666666666669</v>
      </c>
      <c r="L6" s="48">
        <f>SUM(Data!C26:E26)</f>
        <v>21.65</v>
      </c>
      <c r="M6" s="48">
        <f>SUM(Data!H26:K26)</f>
        <v>5.4799999999999995</v>
      </c>
      <c r="N6" s="23">
        <f t="shared" si="5"/>
        <v>17.073333333333331</v>
      </c>
      <c r="O6" s="23">
        <f t="shared" si="6"/>
        <v>9.1533333333333342</v>
      </c>
      <c r="P6" s="23">
        <f t="shared" si="7"/>
        <v>49.711111111111109</v>
      </c>
      <c r="Q6" s="23">
        <f t="shared" si="8"/>
        <v>39.151111111111113</v>
      </c>
      <c r="R6" s="23">
        <f t="shared" si="9"/>
        <v>44.231111111111112</v>
      </c>
      <c r="S6" s="23">
        <f t="shared" si="10"/>
        <v>33.671111111111117</v>
      </c>
      <c r="T6" s="23">
        <f t="shared" si="11"/>
        <v>0</v>
      </c>
      <c r="U6" s="23">
        <f t="shared" si="12"/>
        <v>19.120477155555559</v>
      </c>
      <c r="V6" s="23">
        <f t="shared" si="4"/>
        <v>19.120477155555559</v>
      </c>
      <c r="W6" s="33">
        <f t="shared" si="13"/>
        <v>-4.7715555555782885E-4</v>
      </c>
    </row>
    <row r="7" spans="1:24" x14ac:dyDescent="0.25">
      <c r="A7" s="19">
        <v>6</v>
      </c>
      <c r="B7" s="19"/>
      <c r="C7" s="43">
        <v>46005</v>
      </c>
      <c r="D7" s="44" t="s">
        <v>24</v>
      </c>
      <c r="E7" s="36">
        <v>36.1</v>
      </c>
      <c r="F7" s="36">
        <v>5.15</v>
      </c>
      <c r="G7" s="36">
        <v>30.95</v>
      </c>
      <c r="H7" s="45">
        <v>17.57</v>
      </c>
      <c r="J7" s="48">
        <f>(SUM(Data!C16,Data!C17,Data!C23,Data!C24,Data!C30) - MIN(Data!C16,Data!C17,Data!C23,Data!C24,Data!C30) - MAX(Data!C16,Data!C17,Data!C23,Data!C24,Data!C30))/3 + (SUM(Data!D16,Data!D17,Data!D23,Data!D24,Data!D30) - MIN(Data!D16,Data!D17,Data!D23,Data!D24,Data!D30) - MAX(Data!D16,Data!D17,Data!D23,Data!D24,Data!D30))/3 + (SUM(Data!E16,Data!E17,Data!E23,Data!E24,Data!E30) - MIN(Data!E16,Data!E17,Data!E23,Data!E24,Data!E30) - MAX(Data!E16,Data!E17,Data!E23,Data!E24,Data!E30))/3</f>
        <v>10.54</v>
      </c>
      <c r="K7" s="48">
        <f>(SUM(Data!H16,Data!H17,Data!H23,Data!H24,Data!H30) - MIN(Data!H16,Data!H17,Data!H23,Data!H24,Data!H30) - MAX(Data!H16,Data!H17,Data!H23,Data!H24,Data!H30))/3 + (SUM(Data!I16,Data!I17,Data!I23,Data!I24,Data!I30) - MIN(Data!I16,Data!I17,Data!I23,Data!I24,Data!I30) - MAX(Data!I16,Data!I17,Data!I23,Data!I24,Data!I30))/3 + (SUM(Data!J16,Data!J17,Data!J23,Data!J24,Data!J30) - MIN(Data!J16,Data!J17,Data!J23,Data!J24,Data!J30) - MAX(Data!J16,Data!J17,Data!J23,Data!J24,Data!J30))/3 + (SUM(Data!K16,Data!K17,Data!K23,Data!K24,Data!K30) - MIN(Data!K16,Data!K17,Data!K23,Data!K24,Data!K30) - MAX(Data!K16,Data!K17,Data!K23,Data!K24,Data!K30))/3</f>
        <v>34.61</v>
      </c>
      <c r="L7" s="48">
        <f>SUM(Data!C31:E31)</f>
        <v>11.66</v>
      </c>
      <c r="M7" s="48">
        <f>SUM(Data!H31:K31)</f>
        <v>5.1499999999999995</v>
      </c>
      <c r="N7" s="23">
        <f t="shared" si="5"/>
        <v>1.120000000000001</v>
      </c>
      <c r="O7" s="23">
        <f t="shared" si="6"/>
        <v>21.08</v>
      </c>
      <c r="P7" s="23">
        <f t="shared" si="7"/>
        <v>36.103333333333332</v>
      </c>
      <c r="Q7" s="23">
        <f t="shared" si="8"/>
        <v>62.716666666666669</v>
      </c>
      <c r="R7" s="23">
        <f t="shared" si="9"/>
        <v>30.953333333333333</v>
      </c>
      <c r="S7" s="23">
        <f t="shared" si="10"/>
        <v>57.56666666666667</v>
      </c>
      <c r="T7" s="23">
        <f t="shared" si="11"/>
        <v>17.577159866666669</v>
      </c>
      <c r="U7" s="23">
        <f t="shared" si="12"/>
        <v>0</v>
      </c>
      <c r="V7" s="23">
        <f t="shared" si="4"/>
        <v>17.577159866666669</v>
      </c>
      <c r="W7" s="33">
        <f t="shared" si="13"/>
        <v>-7.1598666666687905E-3</v>
      </c>
    </row>
    <row r="8" spans="1:24" x14ac:dyDescent="0.25">
      <c r="A8" s="19">
        <v>7</v>
      </c>
      <c r="B8" s="19"/>
      <c r="C8" s="43">
        <v>46005</v>
      </c>
      <c r="D8" s="44" t="s">
        <v>5</v>
      </c>
      <c r="E8" s="36">
        <v>64.25</v>
      </c>
      <c r="F8" s="36">
        <v>5.66</v>
      </c>
      <c r="G8" s="36">
        <v>58.59</v>
      </c>
      <c r="H8" s="45">
        <v>33.270000000000003</v>
      </c>
      <c r="J8" s="48">
        <f>(SUM(Data!N16,Data!N17,Data!N23,Data!N24,Data!N30) - MIN(Data!N16,Data!N17,Data!N23,Data!N24,Data!N30) - MAX(Data!N16,Data!N17,Data!N23,Data!N24,Data!N30))/3 + (SUM(Data!O16,Data!O17,Data!O23,Data!O24,Data!O30) - MIN(Data!O16,Data!O17,Data!O23,Data!O24,Data!O30) - MAX(Data!O16,Data!O17,Data!O23,Data!O24,Data!O30))/3</f>
        <v>9.8433333333333337</v>
      </c>
      <c r="K8" s="48">
        <f>(SUM(Data!R16,Data!R17,Data!R23,Data!R24,Data!R30) - MIN(Data!R16,Data!R17,Data!R23,Data!R24,Data!R30) - MAX(Data!R16,Data!R17,Data!R23,Data!R24,Data!R30))/3 + (SUM(Data!S16,Data!S17,Data!S23,Data!S24,Data!S30) - MIN(Data!S16,Data!S17,Data!S23,Data!S24,Data!S30) - MAX(Data!S16,Data!S17,Data!S23,Data!S24,Data!S30))/3 + (SUM(Data!T16,Data!T17,Data!T23,Data!T24,Data!T30) - MIN(Data!T16,Data!T17,Data!T23,Data!T24,Data!T30) - MAX(Data!T16,Data!T17,Data!T23,Data!T24,Data!T30))/3 + (SUM(Data!U16,Data!U17,Data!U23,Data!U24,Data!U30) - MIN(Data!U16,Data!U17,Data!U23,Data!U24,Data!U30) - MAX(Data!U16,Data!U17,Data!U23,Data!U24,Data!U30))/3</f>
        <v>25.930000000000003</v>
      </c>
      <c r="L8" s="48">
        <f>SUM(Data!N31:O31)</f>
        <v>29</v>
      </c>
      <c r="M8" s="48">
        <f>SUM(Data!R31:U31)</f>
        <v>5.66</v>
      </c>
      <c r="N8" s="23">
        <f t="shared" si="5"/>
        <v>19.156666666666666</v>
      </c>
      <c r="O8" s="23">
        <f t="shared" si="6"/>
        <v>19.686666666666667</v>
      </c>
      <c r="P8" s="23">
        <f t="shared" si="7"/>
        <v>64.243333333333339</v>
      </c>
      <c r="Q8" s="23">
        <f t="shared" si="8"/>
        <v>65.303333333333342</v>
      </c>
      <c r="R8" s="23">
        <f t="shared" si="9"/>
        <v>58.583333333333343</v>
      </c>
      <c r="S8" s="23">
        <f t="shared" si="10"/>
        <v>59.643333333333345</v>
      </c>
      <c r="T8" s="23">
        <f t="shared" si="11"/>
        <v>0</v>
      </c>
      <c r="U8" s="23">
        <f t="shared" si="12"/>
        <v>33.869063266666679</v>
      </c>
      <c r="V8" s="23">
        <f t="shared" si="4"/>
        <v>33.869063266666679</v>
      </c>
      <c r="W8" s="33">
        <f t="shared" si="13"/>
        <v>-0.59906326666667553</v>
      </c>
    </row>
    <row r="9" spans="1:24" x14ac:dyDescent="0.25">
      <c r="A9" s="19">
        <v>8</v>
      </c>
      <c r="B9" s="19"/>
      <c r="C9" s="43">
        <v>46026</v>
      </c>
      <c r="D9" s="44" t="s">
        <v>5</v>
      </c>
      <c r="E9" s="36">
        <v>58.6</v>
      </c>
      <c r="F9" s="36">
        <v>13.1</v>
      </c>
      <c r="G9" s="36">
        <v>45.5</v>
      </c>
      <c r="H9" s="45">
        <v>25.83</v>
      </c>
      <c r="J9" s="48">
        <f>(SUM(Data!N37,Data!N38,Data!N44,Data!N45,Data!N51) - MIN(Data!N37,Data!N38,Data!N44,Data!N45,Data!N51) - MAX(Data!N37,Data!N38,Data!N44,Data!N45,Data!N51))/3 + (SUM(Data!O37,Data!O38,Data!O44,Data!O45,Data!O51) - MIN(Data!O37,Data!O38,Data!O44,Data!O45,Data!O51) - MAX(Data!O37,Data!O38,Data!O44,Data!O45,Data!O51))/3</f>
        <v>9.8333333333333357</v>
      </c>
      <c r="K9" s="48">
        <f>(SUM(Data!R37,Data!R38,Data!R44,Data!R45,Data!R51) - MIN(Data!R37,Data!R38,Data!R44,Data!R45,Data!R51) - MAX(Data!R37,Data!R38,Data!R44,Data!R45,Data!R51))/3 + (SUM(Data!S37,Data!S38,Data!S44,Data!S45,Data!S51) - MIN(Data!S37,Data!S38,Data!S44,Data!S45,Data!S51) - MAX(Data!S37,Data!S38,Data!S44,Data!S45,Data!S51))/3 + (SUM(Data!T37,Data!T38,Data!T44,Data!T45,Data!T51) - MIN(Data!T37,Data!T38,Data!T44,Data!T45,Data!T51) - MAX(Data!T37,Data!T38,Data!T44,Data!T45,Data!T51))/3 + (SUM(Data!U37,Data!U38,Data!U44,Data!U45,Data!U51) - MIN(Data!U37,Data!U38,Data!U44,Data!U45,Data!U51) - MAX(Data!U37,Data!U38,Data!U44,Data!U45,Data!U51))/3</f>
        <v>31.186666666666667</v>
      </c>
      <c r="L9" s="48">
        <f>SUM(Data!N52:O52)</f>
        <v>23.54</v>
      </c>
      <c r="M9" s="48">
        <f>SUM(Data!R52:U52)</f>
        <v>13.09</v>
      </c>
      <c r="N9" s="23">
        <f t="shared" si="5"/>
        <v>13.706666666666663</v>
      </c>
      <c r="O9" s="23">
        <f t="shared" si="6"/>
        <v>19.666666666666671</v>
      </c>
      <c r="P9" s="23">
        <f t="shared" si="7"/>
        <v>58.599999999999994</v>
      </c>
      <c r="Q9" s="23">
        <f t="shared" si="8"/>
        <v>70.52000000000001</v>
      </c>
      <c r="R9" s="23">
        <f t="shared" si="9"/>
        <v>45.509999999999991</v>
      </c>
      <c r="S9" s="23">
        <f t="shared" si="10"/>
        <v>57.430000000000007</v>
      </c>
      <c r="T9" s="23">
        <f t="shared" si="11"/>
        <v>0</v>
      </c>
      <c r="U9" s="23">
        <f t="shared" si="12"/>
        <v>32.612199800000006</v>
      </c>
      <c r="V9" s="23">
        <f t="shared" si="4"/>
        <v>32.612199800000006</v>
      </c>
      <c r="W9" s="33">
        <f t="shared" si="13"/>
        <v>-6.7821998000000079</v>
      </c>
    </row>
    <row r="10" spans="1:24" x14ac:dyDescent="0.25">
      <c r="A10" s="19">
        <v>9</v>
      </c>
      <c r="B10" s="19"/>
      <c r="C10" s="43">
        <v>46027</v>
      </c>
      <c r="D10" s="44" t="s">
        <v>24</v>
      </c>
      <c r="E10" s="36">
        <v>63.4</v>
      </c>
      <c r="F10" s="36">
        <v>5.61</v>
      </c>
      <c r="G10" s="36">
        <v>57.79</v>
      </c>
      <c r="H10" s="45">
        <v>32.81</v>
      </c>
      <c r="J10" s="48">
        <f>(SUM(Data!C36,Data!C39,Data!C40,Data!C46,Data!C47) - MIN(Data!C36,Data!C39,Data!C40,Data!C46,Data!C47) - MAX(Data!C36,Data!C39,Data!C40,Data!C46,Data!C47))/3 + (SUM(Data!D36,Data!D39,Data!D40,Data!D46,Data!D47) - MIN(Data!D36,Data!D39,Data!D40,Data!D46,Data!D47) - MAX(Data!D36,Data!D39,Data!D40,Data!D46,Data!D47))/3 + (SUM(Data!E36,Data!E39,Data!E40,Data!E46,Data!E47) - MIN(Data!E36,Data!E39,Data!E40,Data!E46,Data!E47) - MAX(Data!E36,Data!E39,Data!E40,Data!E46,Data!E47))/3</f>
        <v>10.700000000000001</v>
      </c>
      <c r="K10" s="48">
        <f>(SUM(Data!H36,Data!H39,Data!H40,Data!H46,Data!H47) - MIN(Data!H36,Data!H39,Data!H40,Data!H46,Data!H47) - MAX(Data!H36,Data!H39,Data!H40,Data!H46,Data!H47))/3 + (SUM(Data!I36,Data!I39,Data!I40,Data!I46,Data!I47) - MIN(Data!I36,Data!I39,Data!I40,Data!I46,Data!I47) - MAX(Data!I36,Data!I39,Data!I40,Data!I46,Data!I47))/3 + (SUM(Data!J36,Data!J39,Data!J40,Data!J46,Data!J47) - MIN(Data!J36,Data!J39,Data!J40,Data!J46,Data!J47) - MAX(Data!J36,Data!J39,Data!J40,Data!J46,Data!J47))/3 + (SUM(Data!K36,Data!K39,Data!K40,Data!K46,Data!K47) - MIN(Data!K36,Data!K39,Data!K40,Data!K46,Data!K47) - MAX(Data!K36,Data!K39,Data!K40,Data!K46,Data!K47))/3</f>
        <v>37.026666666666671</v>
      </c>
      <c r="L10" s="48">
        <f>SUM(Data!C53:E53)</f>
        <v>30.48</v>
      </c>
      <c r="M10" s="48">
        <f>SUM(Data!H53:K53)</f>
        <v>5.6099999999999994</v>
      </c>
      <c r="N10" s="23">
        <f t="shared" si="5"/>
        <v>19.78</v>
      </c>
      <c r="O10" s="23">
        <f t="shared" si="6"/>
        <v>21.400000000000002</v>
      </c>
      <c r="P10" s="23">
        <f t="shared" si="7"/>
        <v>63.400000000000006</v>
      </c>
      <c r="Q10" s="23">
        <f t="shared" si="8"/>
        <v>65.56</v>
      </c>
      <c r="R10" s="23">
        <f t="shared" si="9"/>
        <v>57.790000000000006</v>
      </c>
      <c r="S10" s="23">
        <f t="shared" si="10"/>
        <v>59.95</v>
      </c>
      <c r="T10" s="23">
        <f t="shared" si="11"/>
        <v>0</v>
      </c>
      <c r="U10" s="23">
        <f t="shared" si="12"/>
        <v>34.043207000000002</v>
      </c>
      <c r="V10" s="23">
        <f t="shared" si="4"/>
        <v>34.043207000000002</v>
      </c>
      <c r="W10" s="33">
        <f t="shared" si="13"/>
        <v>-1.2332070000000002</v>
      </c>
    </row>
    <row r="11" spans="1:24" x14ac:dyDescent="0.25">
      <c r="A11" s="19">
        <v>10</v>
      </c>
      <c r="B11" s="19"/>
      <c r="C11" s="43">
        <v>46027</v>
      </c>
      <c r="D11" s="44" t="s">
        <v>5</v>
      </c>
      <c r="E11" s="36">
        <v>48.58</v>
      </c>
      <c r="F11" s="36">
        <v>8.36</v>
      </c>
      <c r="G11" s="36">
        <v>40.22</v>
      </c>
      <c r="H11" s="45">
        <v>22.83</v>
      </c>
      <c r="J11" s="48">
        <f>(SUM(Data!N36,Data!N39,Data!N40,Data!N46,Data!N47) - MIN(Data!N36,Data!N39,Data!N40,Data!N46,Data!N47) - MAX(Data!N36,Data!N39,Data!N40,Data!N46,Data!N47))/3 + (SUM(Data!O36,Data!O39,Data!O40,Data!O46,Data!O47) - MIN(Data!O36,Data!O39,Data!O40,Data!O46,Data!O47) - MAX(Data!O36,Data!O39,Data!O40,Data!O46,Data!O47))/3</f>
        <v>13.466666666666665</v>
      </c>
      <c r="K11" s="48">
        <f>(SUM(Data!R36,Data!R39,Data!R40,Data!R46,Data!R47) - MIN(Data!R36,Data!R39,Data!R40,Data!R46,Data!R47) - MAX(Data!R36,Data!R39,Data!R40,Data!R46,Data!R47))/3 + (SUM(Data!S36,Data!S39,Data!S40,Data!S46,Data!S47) - MIN(Data!S36,Data!S39,Data!S40,Data!S46,Data!S47) - MAX(Data!S36,Data!S39,Data!S40,Data!S46,Data!S47))/3 + (SUM(Data!T36,Data!T39,Data!T40,Data!T46,Data!T47) - MIN(Data!T36,Data!T39,Data!T40,Data!T46,Data!T47) - MAX(Data!T36,Data!T39,Data!T40,Data!T46,Data!T47))/3 + (SUM(Data!U36,Data!U39,Data!U40,Data!U46,Data!U47) - MIN(Data!U36,Data!U39,Data!U40,Data!U46,Data!U47) - MAX(Data!U36,Data!U39,Data!U40,Data!U46,Data!U47))/3</f>
        <v>32.213333333333338</v>
      </c>
      <c r="L11" s="48">
        <f>SUM(Data!N53:O53)</f>
        <v>21.65</v>
      </c>
      <c r="M11" s="48">
        <f>SUM(Data!R53:U53)</f>
        <v>8.3600000000000012</v>
      </c>
      <c r="N11" s="23">
        <f t="shared" si="5"/>
        <v>8.1833333333333336</v>
      </c>
      <c r="O11" s="23">
        <f t="shared" si="6"/>
        <v>26.93333333333333</v>
      </c>
      <c r="P11" s="23">
        <f t="shared" si="7"/>
        <v>48.580000000000005</v>
      </c>
      <c r="Q11" s="23">
        <f t="shared" si="8"/>
        <v>86.08</v>
      </c>
      <c r="R11" s="23">
        <f t="shared" si="9"/>
        <v>40.220000000000006</v>
      </c>
      <c r="S11" s="23">
        <f t="shared" si="10"/>
        <v>77.72</v>
      </c>
      <c r="T11" s="23">
        <f t="shared" si="11"/>
        <v>0</v>
      </c>
      <c r="U11" s="23">
        <f t="shared" si="12"/>
        <v>44.134079200000002</v>
      </c>
      <c r="V11" s="23">
        <f t="shared" si="4"/>
        <v>44.134079200000002</v>
      </c>
      <c r="W11" s="33">
        <f t="shared" si="13"/>
        <v>-21.304079200000004</v>
      </c>
    </row>
    <row r="12" spans="1:24" x14ac:dyDescent="0.25">
      <c r="A12" s="19">
        <v>11</v>
      </c>
      <c r="B12" s="19"/>
      <c r="C12" s="43">
        <v>46043</v>
      </c>
      <c r="D12" s="44" t="s">
        <v>24</v>
      </c>
      <c r="E12" s="36">
        <v>55.84</v>
      </c>
      <c r="F12" s="36">
        <v>4.26</v>
      </c>
      <c r="G12" s="36">
        <v>51.58</v>
      </c>
      <c r="H12" s="45">
        <v>29.29</v>
      </c>
      <c r="J12" s="48">
        <f>(SUM(Data!C62,Data!C63,Data!C64,Data!C67,Data!C68) - MIN(Data!C62,Data!C63,Data!C64,Data!C67,Data!C68) - MAX(Data!C62,Data!C63,Data!C64,Data!C67,Data!C68))/3 + (SUM(Data!D62,Data!D63,Data!D64,Data!D67,Data!D68) - MIN(Data!D62,Data!D63,Data!D64,Data!D67,Data!D68) - MAX(Data!D62,Data!D63,Data!D64,Data!D67,Data!D68))/3 + (SUM(Data!E62,Data!E63,Data!E64,Data!E67,Data!E68) - MIN(Data!E62,Data!E63,Data!E64,Data!E67,Data!E68) - MAX(Data!E62,Data!E63,Data!E64,Data!E67,Data!E68))/3</f>
        <v>9.0399999999999991</v>
      </c>
      <c r="K12" s="48">
        <f>(SUM(Data!H62,Data!H63,Data!H64,Data!H67,Data!H68) - MIN(Data!H62,Data!H63,Data!H64,Data!H67,Data!H68) - MAX(Data!H62,Data!H63,Data!H64,Data!H67,Data!H68))/3 + (SUM(Data!I62,Data!I63,Data!I64,Data!I67,Data!I68) - MIN(Data!I62,Data!I63,Data!I64,Data!I67,Data!I68) - MAX(Data!I62,Data!I63,Data!I64,Data!I67,Data!I68))/3 + (SUM(Data!J62,Data!J63,Data!J64,Data!J67,Data!J68) - MIN(Data!J62,Data!J63,Data!J64,Data!J67,Data!J68) - MAX(Data!J62,Data!J63,Data!J64,Data!J67,Data!J68))/3 + (SUM(Data!K62,Data!K63,Data!K64,Data!K67,Data!K68) - MIN(Data!K62,Data!K63,Data!K64,Data!K67,Data!K68) - MAX(Data!K62,Data!K63,Data!K64,Data!K67,Data!K68))/3</f>
        <v>44.653333333333329</v>
      </c>
      <c r="L12" s="48">
        <f>SUM(Data!C69:E69)</f>
        <v>17.43</v>
      </c>
      <c r="M12" s="48">
        <f>SUM(Data!H69:K69)</f>
        <v>4.26</v>
      </c>
      <c r="N12" s="23">
        <f t="shared" si="5"/>
        <v>8.39</v>
      </c>
      <c r="O12" s="23">
        <f t="shared" si="6"/>
        <v>18.079999999999998</v>
      </c>
      <c r="P12" s="23">
        <f t="shared" si="7"/>
        <v>55.839999999999996</v>
      </c>
      <c r="Q12" s="23">
        <f t="shared" si="8"/>
        <v>68.759999999999991</v>
      </c>
      <c r="R12" s="23">
        <f t="shared" si="9"/>
        <v>51.58</v>
      </c>
      <c r="S12" s="23">
        <f t="shared" si="10"/>
        <v>64.499999999999986</v>
      </c>
      <c r="T12" s="23">
        <f t="shared" si="11"/>
        <v>0</v>
      </c>
      <c r="U12" s="23">
        <f t="shared" si="12"/>
        <v>36.626969999999993</v>
      </c>
      <c r="V12" s="23">
        <f t="shared" si="4"/>
        <v>36.626969999999993</v>
      </c>
      <c r="W12" s="33">
        <f t="shared" si="13"/>
        <v>-7.3369699999999938</v>
      </c>
    </row>
    <row r="13" spans="1:24" x14ac:dyDescent="0.25">
      <c r="A13" s="19">
        <v>12</v>
      </c>
      <c r="B13" s="19"/>
      <c r="C13" s="43">
        <v>46046</v>
      </c>
      <c r="D13" s="44" t="s">
        <v>24</v>
      </c>
      <c r="E13" s="36">
        <v>51.98</v>
      </c>
      <c r="F13" s="36">
        <v>4.5999999999999996</v>
      </c>
      <c r="G13" s="36">
        <v>47.37</v>
      </c>
      <c r="H13" s="45">
        <v>26.89</v>
      </c>
      <c r="J13" s="48">
        <f>(SUM(Data!C52,Data!C58,Data!C59,Data!C65,Data!C66) - MIN(Data!C52,Data!C58,Data!C59,Data!C65,Data!C66) - MAX(Data!C52,Data!C58,Data!C59,Data!C65,Data!C66))/3 + (SUM(Data!D52,Data!D58,Data!D59,Data!D65,Data!D66) - MIN(Data!D52,Data!D58,Data!D59,Data!D65,Data!D66) - MAX(Data!D52,Data!D58,Data!D59,Data!D65,Data!D66))/3 + (SUM(Data!E52,Data!E58,Data!E59,Data!E65,Data!E66) - MIN(Data!E52,Data!E58,Data!E59,Data!E65,Data!E66) - MAX(Data!E52,Data!E58,Data!E59,Data!E65,Data!E66))/3</f>
        <v>8.6233333333333348</v>
      </c>
      <c r="K13" s="48">
        <f>(SUM(Data!H52,Data!H58,Data!H59,Data!H65,Data!H66) - MIN(Data!H52,Data!H58,Data!H59,Data!H65,Data!H66) - MAX(Data!H52,Data!H58,Data!H59,Data!H65,Data!H66))/3 + (SUM(Data!I52,Data!I58,Data!I59,Data!I65,Data!I66) - MIN(Data!I52,Data!I58,Data!I59,Data!I65,Data!I66) - MAX(Data!I52,Data!I58,Data!I59,Data!I65,Data!I66))/3 + (SUM(Data!J52,Data!J58,Data!J59,Data!J65,Data!J66) - MIN(Data!J52,Data!J58,Data!J59,Data!J65,Data!J66) - MAX(Data!J52,Data!J58,Data!J59,Data!J65,Data!J66))/3 + (SUM(Data!K52,Data!K58,Data!K59,Data!K65,Data!K66) - MIN(Data!K52,Data!K58,Data!K59,Data!K65,Data!K66) - MAX(Data!K52,Data!K58,Data!K59,Data!K65,Data!K66))/3</f>
        <v>33.033333333333331</v>
      </c>
      <c r="L13" s="48">
        <f>SUM(Data!C72:E72)</f>
        <v>22.48</v>
      </c>
      <c r="M13" s="48">
        <f>SUM(Data!H72:K72)</f>
        <v>4.59</v>
      </c>
      <c r="N13" s="23">
        <f t="shared" si="5"/>
        <v>13.856666666666666</v>
      </c>
      <c r="O13" s="23">
        <f t="shared" si="6"/>
        <v>17.24666666666667</v>
      </c>
      <c r="P13" s="23">
        <f t="shared" si="7"/>
        <v>51.50888888888889</v>
      </c>
      <c r="Q13" s="23">
        <f t="shared" si="8"/>
        <v>56.028888888888886</v>
      </c>
      <c r="R13" s="23">
        <f t="shared" si="9"/>
        <v>46.918888888888887</v>
      </c>
      <c r="S13" s="23">
        <f t="shared" si="10"/>
        <v>51.438888888888883</v>
      </c>
      <c r="T13" s="23">
        <f t="shared" si="11"/>
        <v>0</v>
      </c>
      <c r="U13" s="23">
        <f t="shared" si="12"/>
        <v>29.210087444444444</v>
      </c>
      <c r="V13" s="23">
        <f t="shared" si="4"/>
        <v>29.210087444444444</v>
      </c>
      <c r="W13" s="33">
        <f t="shared" si="13"/>
        <v>-2.320087444444443</v>
      </c>
    </row>
    <row r="14" spans="1:24" x14ac:dyDescent="0.25">
      <c r="A14" s="19">
        <v>13</v>
      </c>
      <c r="B14" s="19"/>
      <c r="C14" s="43">
        <v>46047</v>
      </c>
      <c r="D14" s="44" t="s">
        <v>24</v>
      </c>
      <c r="E14" s="36">
        <v>51.09</v>
      </c>
      <c r="F14" s="36">
        <v>6.2</v>
      </c>
      <c r="G14" s="36">
        <v>44.89</v>
      </c>
      <c r="H14" s="45">
        <v>25.49</v>
      </c>
      <c r="J14" s="48">
        <f>(SUM(Data!C52,Data!C58,Data!C59,Data!C65,Data!C66) - MIN(Data!C52,Data!C58,Data!C59,Data!C65,Data!C66) - MAX(Data!C52,Data!C58,Data!C59,Data!C65,Data!C66))/3 + (SUM(Data!D52,Data!D58,Data!D59,Data!D65,Data!D66) - MIN(Data!D52,Data!D58,Data!D59,Data!D65,Data!D66) - MAX(Data!D52,Data!D58,Data!D59,Data!D65,Data!D66))/3 + (SUM(Data!E52,Data!E58,Data!E59,Data!E65,Data!E66) - MIN(Data!E52,Data!E58,Data!E59,Data!E65,Data!E66) - MAX(Data!E52,Data!E58,Data!E59,Data!E65,Data!E66))/3</f>
        <v>8.6233333333333348</v>
      </c>
      <c r="K14" s="48">
        <f>(SUM(Data!H52,Data!H58,Data!H59,Data!H65,Data!H66) - MIN(Data!H52,Data!H58,Data!H59,Data!H65,Data!H66) - MAX(Data!H52,Data!H58,Data!H59,Data!H65,Data!H66))/3 + (SUM(Data!I52,Data!I58,Data!I59,Data!I65,Data!I66) - MIN(Data!I52,Data!I58,Data!I59,Data!I65,Data!I66) - MAX(Data!I52,Data!I58,Data!I59,Data!I65,Data!I66))/3 + (SUM(Data!J52,Data!J58,Data!J59,Data!J65,Data!J66) - MIN(Data!J52,Data!J58,Data!J59,Data!J65,Data!J66) - MAX(Data!J52,Data!J58,Data!J59,Data!J65,Data!J66))/3 + (SUM(Data!K52,Data!K58,Data!K59,Data!K65,Data!K66) - MIN(Data!K52,Data!K58,Data!K59,Data!K65,Data!K66) - MAX(Data!K52,Data!K58,Data!K59,Data!K65,Data!K66))/3</f>
        <v>33.033333333333331</v>
      </c>
      <c r="L14" s="48">
        <f>SUM(Data!C73:E73)</f>
        <v>21.82</v>
      </c>
      <c r="M14" s="48">
        <f>SUM(Data!H73:K73)</f>
        <v>6.19</v>
      </c>
      <c r="N14" s="23">
        <f t="shared" si="5"/>
        <v>13.196666666666665</v>
      </c>
      <c r="O14" s="23">
        <f t="shared" si="6"/>
        <v>17.24666666666667</v>
      </c>
      <c r="P14" s="23">
        <f t="shared" si="7"/>
        <v>50.628888888888881</v>
      </c>
      <c r="Q14" s="23">
        <f t="shared" si="8"/>
        <v>56.028888888888886</v>
      </c>
      <c r="R14" s="23">
        <f t="shared" si="9"/>
        <v>44.438888888888883</v>
      </c>
      <c r="S14" s="23">
        <f t="shared" si="10"/>
        <v>49.838888888888889</v>
      </c>
      <c r="T14" s="23">
        <f t="shared" si="11"/>
        <v>0</v>
      </c>
      <c r="U14" s="23">
        <f t="shared" si="12"/>
        <v>28.301511444444447</v>
      </c>
      <c r="V14" s="23">
        <f t="shared" si="4"/>
        <v>28.301511444444447</v>
      </c>
      <c r="W14" s="33">
        <f t="shared" si="13"/>
        <v>-2.8115114444444487</v>
      </c>
    </row>
    <row r="15" spans="1:24" x14ac:dyDescent="0.25">
      <c r="A15" s="19">
        <v>14</v>
      </c>
      <c r="B15" s="19"/>
      <c r="C15" s="43">
        <v>46047</v>
      </c>
      <c r="D15" s="44" t="s">
        <v>5</v>
      </c>
      <c r="E15" s="36">
        <v>69.88</v>
      </c>
      <c r="F15" s="36">
        <v>5.57</v>
      </c>
      <c r="G15" s="36">
        <v>64.3</v>
      </c>
      <c r="H15" s="45">
        <v>36.51</v>
      </c>
      <c r="J15" s="48">
        <f>(SUM(Data!N58,Data!N59,Data!N65,Data!N66,Data!N72) - MIN(Data!N58,Data!N59,Data!N65,Data!N66,Data!N72) - MAX(Data!N58,Data!N59,Data!N65,Data!N66,Data!N72))/3 + (SUM(Data!O58,Data!O59,Data!O65,Data!O66,Data!O72) - MIN(Data!O58,Data!O59,Data!O65,Data!O66,Data!O72) - MAX(Data!O58,Data!O59,Data!O65,Data!O66,Data!O72))/3</f>
        <v>10.756666666666668</v>
      </c>
      <c r="K15" s="48">
        <f>(SUM(Data!R58,Data!R59,Data!R65,Data!R66,Data!R72) - MIN(Data!R58,Data!R59,Data!R65,Data!R66,Data!R72) - MAX(Data!R58,Data!R59,Data!R65,Data!R66,Data!R72))/3 + (SUM(Data!S58,Data!S59,Data!S65,Data!S66,Data!S72) - MIN(Data!S58,Data!S59,Data!S65,Data!S66,Data!S72) - MAX(Data!S58,Data!S59,Data!S65,Data!S66,Data!S72))/3 + (SUM(Data!T58,Data!T59,Data!T65,Data!T66,Data!T72) - MIN(Data!T58,Data!T59,Data!T65,Data!T66,Data!T72) - MAX(Data!T58,Data!T59,Data!T65,Data!T66,Data!T72))/3 + (SUM(Data!U58,Data!U59,Data!U65,Data!U66,Data!U72) - MIN(Data!U58,Data!U59,Data!U65,Data!U66,Data!U72) - MAX(Data!U58,Data!U59,Data!U65,Data!U66,Data!U72))/3</f>
        <v>42.833333333333329</v>
      </c>
      <c r="L15" s="48">
        <f>SUM(Data!N73:O73)</f>
        <v>25.590000000000003</v>
      </c>
      <c r="M15" s="48">
        <f>SUM(Data!R73:U73)</f>
        <v>5.58</v>
      </c>
      <c r="N15" s="23">
        <f t="shared" si="5"/>
        <v>14.833333333333336</v>
      </c>
      <c r="O15" s="23">
        <f t="shared" si="6"/>
        <v>21.513333333333335</v>
      </c>
      <c r="P15" s="23">
        <f t="shared" si="7"/>
        <v>72.5</v>
      </c>
      <c r="Q15" s="23">
        <f t="shared" si="8"/>
        <v>85.86</v>
      </c>
      <c r="R15" s="23">
        <f t="shared" si="9"/>
        <v>66.92</v>
      </c>
      <c r="S15" s="23">
        <f t="shared" si="10"/>
        <v>80.28</v>
      </c>
      <c r="T15" s="23">
        <f t="shared" si="11"/>
        <v>0</v>
      </c>
      <c r="U15" s="23">
        <f t="shared" si="12"/>
        <v>45.587800800000004</v>
      </c>
      <c r="V15" s="23">
        <f t="shared" si="4"/>
        <v>45.587800800000004</v>
      </c>
      <c r="W15" s="33">
        <f t="shared" si="13"/>
        <v>-9.0778008000000057</v>
      </c>
    </row>
    <row r="16" spans="1:24" x14ac:dyDescent="0.25">
      <c r="A16" s="19">
        <v>15</v>
      </c>
      <c r="B16" s="19"/>
      <c r="C16" s="43">
        <v>46048</v>
      </c>
      <c r="D16" s="44" t="s">
        <v>24</v>
      </c>
      <c r="E16" s="36">
        <v>70.459999999999994</v>
      </c>
      <c r="F16" s="36">
        <v>5.55</v>
      </c>
      <c r="G16" s="36">
        <v>64.900000000000006</v>
      </c>
      <c r="H16" s="45">
        <v>36.85</v>
      </c>
      <c r="J16" s="48">
        <f>(SUM(Data!C64,Data!C67,Data!C68,Data!C70,Data!C71) - MIN(Data!C64,Data!C67,Data!C68,Data!C70,Data!C71) - MAX(Data!C64,Data!C67,Data!C68,Data!C70,Data!C71))/3 + (SUM(Data!D64,Data!D67,Data!D68,Data!D70,Data!D71) - MIN(Data!D64,Data!D67,Data!D68,Data!D70,Data!D71) - MAX(Data!D64,Data!D67,Data!D68,Data!D70,Data!D71))/3 + (SUM(Data!E64,Data!E67,Data!E68,Data!E70,Data!E71) - MIN(Data!E64,Data!E67,Data!E68,Data!E70,Data!E71) - MAX(Data!E64,Data!E67,Data!E68,Data!E70,Data!E71))/3</f>
        <v>12.473333333333331</v>
      </c>
      <c r="K16" s="48">
        <f>(SUM(Data!H64,Data!H67,Data!H68,Data!H70,Data!H71) - MIN(Data!H64,Data!H67,Data!H68,Data!H70,Data!H71) - MAX(Data!H64,Data!H67,Data!H68,Data!H70,Data!H71))/3 + (SUM(Data!I64,Data!I67,Data!I68,Data!I70,Data!I71) - MIN(Data!I64,Data!I67,Data!I68,Data!I70,Data!I71) - MAX(Data!I64,Data!I67,Data!I68,Data!I70,Data!I71))/3 + (SUM(Data!J64,Data!J67,Data!J68,Data!J70,Data!J71) - MIN(Data!J64,Data!J67,Data!J68,Data!J70,Data!J71) - MAX(Data!J64,Data!J67,Data!J68,Data!J70,Data!J71))/3 + (SUM(Data!K64,Data!K67,Data!K68,Data!K70,Data!K71) - MIN(Data!K64,Data!K67,Data!K68,Data!K70,Data!K71) - MAX(Data!K64,Data!K67,Data!K68,Data!K70,Data!K71))/3</f>
        <v>46.726666666666674</v>
      </c>
      <c r="L16" s="48">
        <f>SUM(Data!C74:E74)</f>
        <v>30.27</v>
      </c>
      <c r="M16" s="48">
        <f>SUM(Data!H74:K74)</f>
        <v>5.5399999999999991</v>
      </c>
      <c r="N16" s="23">
        <f t="shared" si="5"/>
        <v>17.796666666666667</v>
      </c>
      <c r="O16" s="23">
        <f t="shared" si="6"/>
        <v>24.946666666666662</v>
      </c>
      <c r="P16" s="23">
        <f t="shared" si="7"/>
        <v>70.455555555555563</v>
      </c>
      <c r="Q16" s="23">
        <f t="shared" si="8"/>
        <v>79.98888888888888</v>
      </c>
      <c r="R16" s="23">
        <f t="shared" si="9"/>
        <v>64.915555555555557</v>
      </c>
      <c r="S16" s="23">
        <f t="shared" si="10"/>
        <v>74.448888888888888</v>
      </c>
      <c r="T16" s="23">
        <f t="shared" si="11"/>
        <v>0</v>
      </c>
      <c r="U16" s="23">
        <f t="shared" si="12"/>
        <v>42.276546044444444</v>
      </c>
      <c r="V16" s="23">
        <f t="shared" si="4"/>
        <v>42.276546044444444</v>
      </c>
      <c r="W16" s="33">
        <f t="shared" si="13"/>
        <v>-5.4265460444444429</v>
      </c>
    </row>
    <row r="17" spans="1:23" x14ac:dyDescent="0.25">
      <c r="A17" s="19">
        <v>16</v>
      </c>
      <c r="B17" s="19"/>
      <c r="C17" s="43">
        <v>46048</v>
      </c>
      <c r="D17" s="44" t="s">
        <v>5</v>
      </c>
      <c r="E17" s="36">
        <v>80.31</v>
      </c>
      <c r="F17" s="36">
        <v>6.97</v>
      </c>
      <c r="G17" s="36">
        <v>73.33</v>
      </c>
      <c r="H17" s="45">
        <v>41.64</v>
      </c>
      <c r="J17" s="48">
        <f>(SUM(Data!N67,Data!N68,Data!N69,Data!N70,Data!N71) - MIN(Data!N67,Data!N68,Data!N69,Data!N70,Data!N71) - MAX(Data!N67,Data!N68,Data!N69,Data!N70,Data!N71))/3 + (SUM(Data!O67,Data!O68,Data!O69,Data!O70,Data!O71) - MIN(Data!O67,Data!O68,Data!O69,Data!O70,Data!O71) - MAX(Data!O67,Data!O68,Data!O69,Data!O70,Data!O71))/3</f>
        <v>10.290000000000001</v>
      </c>
      <c r="K17" s="48">
        <f>(SUM(Data!R67,Data!R68,Data!R69,Data!R70,Data!R71) - MIN(Data!R67,Data!R68,Data!R69,Data!R70,Data!R71) - MAX(Data!R67,Data!R68,Data!R69,Data!R70,Data!R71))/3 + (SUM(Data!S67,Data!S68,Data!S69,Data!S70,Data!S71) - MIN(Data!S67,Data!S68,Data!S69,Data!S70,Data!S71) - MAX(Data!S67,Data!S68,Data!S69,Data!S70,Data!S71))/3 + (SUM(Data!T67,Data!T68,Data!T69,Data!T70,Data!T71) - MIN(Data!T67,Data!T68,Data!T69,Data!T70,Data!T71) - MAX(Data!T67,Data!T68,Data!T69,Data!T70,Data!T71))/3 + (SUM(Data!U67,Data!U68,Data!U69,Data!U70,Data!U71) - MIN(Data!U67,Data!U68,Data!U69,Data!U70,Data!U71) - MAX(Data!U67,Data!U68,Data!U69,Data!U70,Data!U71))/3</f>
        <v>41.53</v>
      </c>
      <c r="L17" s="48">
        <f>SUM(Data!N74:O74)</f>
        <v>40.86</v>
      </c>
      <c r="M17" s="48">
        <f>SUM(Data!R74:U74)</f>
        <v>6.9599999999999991</v>
      </c>
      <c r="N17" s="23">
        <f t="shared" si="5"/>
        <v>30.57</v>
      </c>
      <c r="O17" s="23">
        <f t="shared" si="6"/>
        <v>20.580000000000002</v>
      </c>
      <c r="P17" s="23">
        <f t="shared" si="7"/>
        <v>102.67</v>
      </c>
      <c r="Q17" s="23">
        <f t="shared" si="8"/>
        <v>82.69</v>
      </c>
      <c r="R17" s="23">
        <f t="shared" si="9"/>
        <v>95.710000000000008</v>
      </c>
      <c r="S17" s="23">
        <f t="shared" si="10"/>
        <v>75.73</v>
      </c>
      <c r="T17" s="23">
        <f t="shared" si="11"/>
        <v>0</v>
      </c>
      <c r="U17" s="23">
        <f t="shared" si="12"/>
        <v>43.004037800000006</v>
      </c>
      <c r="V17" s="23">
        <f t="shared" si="4"/>
        <v>43.004037800000006</v>
      </c>
      <c r="W17" s="33">
        <f t="shared" si="13"/>
        <v>-1.3640378000000055</v>
      </c>
    </row>
    <row r="18" spans="1:23" x14ac:dyDescent="0.25">
      <c r="A18" s="19">
        <v>17</v>
      </c>
      <c r="B18" s="19"/>
      <c r="C18" s="43">
        <v>46054</v>
      </c>
      <c r="D18" s="44" t="s">
        <v>24</v>
      </c>
      <c r="E18" s="36">
        <v>51.18</v>
      </c>
      <c r="F18" s="36">
        <v>4.72</v>
      </c>
      <c r="G18" s="36">
        <v>46.45</v>
      </c>
      <c r="H18" s="45">
        <v>26.37</v>
      </c>
      <c r="J18" s="48">
        <f>(SUM(Data!C58,Data!C59,Data!C65,Data!C66,Data!C79) - MIN(Data!C58,Data!C59,Data!C65,Data!C66,Data!C79) - MAX(Data!C58,Data!C59,Data!C65,Data!C66,Data!C79))/3 + (SUM(Data!D58,Data!D59,Data!D65,Data!D66,Data!D79) - MIN(Data!D58,Data!D59,Data!D65,Data!D66,Data!D79) - MAX(Data!D58,Data!D59,Data!D65,Data!D66,Data!D79))/3 + (SUM(Data!E58,Data!E59,Data!E65,Data!E66,Data!E79) - MIN(Data!E58,Data!E59,Data!E65,Data!E66,Data!E79) - MAX(Data!E58,Data!E59,Data!E65,Data!E66,Data!E79))/3</f>
        <v>9.206666666666667</v>
      </c>
      <c r="K18" s="48">
        <f>(SUM(Data!H58,Data!H59,Data!H65,Data!H66,Data!H79) - MIN(Data!H58,Data!H59,Data!H65,Data!H66,Data!H79) - MAX(Data!H58,Data!H59,Data!H65,Data!H66,Data!H79))/3 + (SUM(Data!I58,Data!I59,Data!I65,Data!I66,Data!I79) - MIN(Data!I58,Data!I59,Data!I65,Data!I66,Data!I79) - MAX(Data!I58,Data!I59,Data!I65,Data!I66,Data!I79))/3 + (SUM(Data!J58,Data!J59,Data!J65,Data!J66,Data!J79) - MIN(Data!J58,Data!J59,Data!J65,Data!J66,Data!J79) - MAX(Data!J58,Data!J59,Data!J65,Data!J66,Data!J79))/3 + (SUM(Data!K58,Data!K59,Data!K65,Data!K66,Data!K79) - MIN(Data!K58,Data!K59,Data!K65,Data!K66,Data!K79) - MAX(Data!K58,Data!K59,Data!K65,Data!K66,Data!K79))/3</f>
        <v>34.406666666666666</v>
      </c>
      <c r="L18" s="48">
        <f>SUM(Data!C80:E80)</f>
        <v>21.78</v>
      </c>
      <c r="M18" s="48">
        <f>SUM(Data!H80:K80)</f>
        <v>4.7300000000000004</v>
      </c>
      <c r="N18" s="23">
        <f t="shared" si="5"/>
        <v>12.573333333333334</v>
      </c>
      <c r="O18" s="23">
        <f t="shared" si="6"/>
        <v>18.413333333333334</v>
      </c>
      <c r="P18" s="23">
        <f t="shared" si="7"/>
        <v>51.171111111111117</v>
      </c>
      <c r="Q18" s="23">
        <f t="shared" si="8"/>
        <v>58.957777777777778</v>
      </c>
      <c r="R18" s="23">
        <f t="shared" si="9"/>
        <v>46.441111111111113</v>
      </c>
      <c r="S18" s="23">
        <f t="shared" si="10"/>
        <v>54.227777777777774</v>
      </c>
      <c r="T18" s="23">
        <f t="shared" si="11"/>
        <v>0</v>
      </c>
      <c r="U18" s="23">
        <f t="shared" si="12"/>
        <v>30.793785888888888</v>
      </c>
      <c r="V18" s="23">
        <f t="shared" si="4"/>
        <v>30.793785888888888</v>
      </c>
      <c r="W18" s="33">
        <f t="shared" si="13"/>
        <v>-4.4237858888888866</v>
      </c>
    </row>
    <row r="19" spans="1:23" x14ac:dyDescent="0.25">
      <c r="A19" s="19">
        <v>18</v>
      </c>
      <c r="B19" s="19"/>
      <c r="C19" s="43"/>
      <c r="D19" s="44"/>
      <c r="E19" s="37"/>
      <c r="F19" s="37"/>
      <c r="G19" s="37"/>
      <c r="H19" s="45"/>
      <c r="J19" s="48"/>
      <c r="K19" s="48"/>
      <c r="L19" s="48"/>
      <c r="M19" s="48"/>
      <c r="N19" s="23">
        <f t="shared" si="5"/>
        <v>0</v>
      </c>
      <c r="O19" s="23">
        <f t="shared" si="6"/>
        <v>0</v>
      </c>
      <c r="P19" s="23">
        <f t="shared" si="7"/>
        <v>0</v>
      </c>
      <c r="Q19" s="23">
        <f t="shared" si="8"/>
        <v>0</v>
      </c>
      <c r="R19" s="23">
        <f t="shared" si="9"/>
        <v>0</v>
      </c>
      <c r="S19" s="23">
        <f t="shared" si="10"/>
        <v>0</v>
      </c>
      <c r="T19" s="23">
        <f t="shared" si="11"/>
        <v>0</v>
      </c>
      <c r="U19" s="23">
        <f t="shared" si="12"/>
        <v>0</v>
      </c>
      <c r="V19" s="23">
        <f t="shared" si="4"/>
        <v>0</v>
      </c>
      <c r="W19" s="33">
        <f t="shared" si="13"/>
        <v>0</v>
      </c>
    </row>
    <row r="20" spans="1:23" x14ac:dyDescent="0.25">
      <c r="A20" s="19">
        <v>19</v>
      </c>
      <c r="B20" s="19"/>
      <c r="C20" s="43"/>
      <c r="D20" s="44"/>
      <c r="E20" s="37"/>
      <c r="F20" s="37"/>
      <c r="G20" s="37"/>
      <c r="H20" s="45"/>
      <c r="J20" s="48"/>
      <c r="K20" s="48"/>
      <c r="L20" s="48"/>
      <c r="M20" s="48"/>
      <c r="N20" s="23">
        <f t="shared" si="5"/>
        <v>0</v>
      </c>
      <c r="O20" s="23">
        <f t="shared" si="6"/>
        <v>0</v>
      </c>
      <c r="P20" s="23">
        <f t="shared" si="7"/>
        <v>0</v>
      </c>
      <c r="Q20" s="23">
        <f t="shared" si="8"/>
        <v>0</v>
      </c>
      <c r="R20" s="23">
        <f t="shared" si="9"/>
        <v>0</v>
      </c>
      <c r="S20" s="23">
        <f t="shared" si="10"/>
        <v>0</v>
      </c>
      <c r="T20" s="23">
        <f t="shared" si="11"/>
        <v>0</v>
      </c>
      <c r="U20" s="23">
        <f t="shared" si="12"/>
        <v>0</v>
      </c>
      <c r="V20" s="23">
        <f t="shared" si="4"/>
        <v>0</v>
      </c>
      <c r="W20" s="33">
        <f t="shared" si="13"/>
        <v>0</v>
      </c>
    </row>
    <row r="21" spans="1:23" x14ac:dyDescent="0.25">
      <c r="A21" s="19">
        <v>20</v>
      </c>
      <c r="B21" s="19"/>
      <c r="C21" s="43"/>
      <c r="D21" s="44"/>
      <c r="E21" s="37"/>
      <c r="F21" s="37"/>
      <c r="G21" s="37"/>
      <c r="H21" s="45"/>
      <c r="J21" s="48"/>
      <c r="K21" s="48"/>
      <c r="L21" s="48"/>
      <c r="M21" s="48"/>
      <c r="N21" s="23">
        <f t="shared" si="5"/>
        <v>0</v>
      </c>
      <c r="O21" s="23">
        <f t="shared" si="6"/>
        <v>0</v>
      </c>
      <c r="P21" s="23">
        <f t="shared" si="7"/>
        <v>0</v>
      </c>
      <c r="Q21" s="23">
        <f t="shared" si="8"/>
        <v>0</v>
      </c>
      <c r="R21" s="23">
        <f t="shared" si="9"/>
        <v>0</v>
      </c>
      <c r="S21" s="23">
        <f t="shared" si="10"/>
        <v>0</v>
      </c>
      <c r="T21" s="23">
        <f t="shared" si="11"/>
        <v>0</v>
      </c>
      <c r="U21" s="23">
        <f t="shared" si="12"/>
        <v>0</v>
      </c>
      <c r="V21" s="23">
        <f t="shared" si="4"/>
        <v>0</v>
      </c>
      <c r="W21" s="33">
        <f t="shared" si="13"/>
        <v>0</v>
      </c>
    </row>
    <row r="22" spans="1:23" x14ac:dyDescent="0.25">
      <c r="A22" s="19">
        <v>21</v>
      </c>
      <c r="B22" s="19"/>
      <c r="C22" s="43"/>
      <c r="D22" s="44"/>
      <c r="E22" s="37"/>
      <c r="F22" s="37"/>
      <c r="G22" s="37"/>
      <c r="H22" s="45"/>
      <c r="J22" s="48"/>
      <c r="K22" s="48"/>
      <c r="L22" s="48"/>
      <c r="M22" s="48"/>
      <c r="N22" s="23">
        <f t="shared" si="5"/>
        <v>0</v>
      </c>
      <c r="O22" s="23">
        <f t="shared" si="6"/>
        <v>0</v>
      </c>
      <c r="P22" s="23">
        <f t="shared" si="7"/>
        <v>0</v>
      </c>
      <c r="Q22" s="23">
        <f t="shared" si="8"/>
        <v>0</v>
      </c>
      <c r="R22" s="23">
        <f t="shared" si="9"/>
        <v>0</v>
      </c>
      <c r="S22" s="23">
        <f t="shared" si="10"/>
        <v>0</v>
      </c>
      <c r="T22" s="23">
        <f t="shared" si="11"/>
        <v>0</v>
      </c>
      <c r="U22" s="23">
        <f t="shared" si="12"/>
        <v>0</v>
      </c>
      <c r="V22" s="23">
        <f t="shared" si="4"/>
        <v>0</v>
      </c>
      <c r="W22" s="33">
        <f t="shared" si="13"/>
        <v>0</v>
      </c>
    </row>
    <row r="23" spans="1:23" x14ac:dyDescent="0.25">
      <c r="A23" s="19">
        <v>22</v>
      </c>
      <c r="B23" s="19"/>
      <c r="C23" s="43"/>
      <c r="D23" s="44"/>
      <c r="E23" s="37"/>
      <c r="F23" s="37"/>
      <c r="G23" s="37"/>
      <c r="H23" s="45"/>
      <c r="J23" s="48"/>
      <c r="K23" s="48"/>
      <c r="L23" s="48"/>
      <c r="M23" s="48"/>
      <c r="N23" s="23">
        <f t="shared" si="5"/>
        <v>0</v>
      </c>
      <c r="O23" s="23">
        <f t="shared" si="6"/>
        <v>0</v>
      </c>
      <c r="P23" s="23">
        <f t="shared" si="7"/>
        <v>0</v>
      </c>
      <c r="Q23" s="23">
        <f t="shared" si="8"/>
        <v>0</v>
      </c>
      <c r="R23" s="23">
        <f t="shared" si="9"/>
        <v>0</v>
      </c>
      <c r="S23" s="23">
        <f t="shared" si="10"/>
        <v>0</v>
      </c>
      <c r="T23" s="23">
        <f t="shared" si="11"/>
        <v>0</v>
      </c>
      <c r="U23" s="23">
        <f t="shared" si="12"/>
        <v>0</v>
      </c>
      <c r="V23" s="23">
        <f t="shared" si="4"/>
        <v>0</v>
      </c>
      <c r="W23" s="33">
        <f t="shared" si="13"/>
        <v>0</v>
      </c>
    </row>
    <row r="24" spans="1:23" x14ac:dyDescent="0.25">
      <c r="A24" s="19">
        <v>23</v>
      </c>
      <c r="B24" s="19"/>
      <c r="C24" s="43"/>
      <c r="D24" s="44"/>
      <c r="E24" s="37"/>
      <c r="F24" s="37"/>
      <c r="G24" s="37"/>
      <c r="H24" s="45"/>
      <c r="J24" s="48"/>
      <c r="K24" s="48"/>
      <c r="L24" s="48"/>
      <c r="M24" s="48"/>
      <c r="N24" s="23">
        <f t="shared" si="5"/>
        <v>0</v>
      </c>
      <c r="O24" s="23">
        <f t="shared" si="6"/>
        <v>0</v>
      </c>
      <c r="P24" s="23">
        <f t="shared" si="7"/>
        <v>0</v>
      </c>
      <c r="Q24" s="23">
        <f t="shared" si="8"/>
        <v>0</v>
      </c>
      <c r="R24" s="23">
        <f t="shared" si="9"/>
        <v>0</v>
      </c>
      <c r="S24" s="23">
        <f t="shared" si="10"/>
        <v>0</v>
      </c>
      <c r="T24" s="23">
        <f t="shared" si="11"/>
        <v>0</v>
      </c>
      <c r="U24" s="23">
        <f t="shared" si="12"/>
        <v>0</v>
      </c>
      <c r="V24" s="23">
        <f t="shared" si="4"/>
        <v>0</v>
      </c>
      <c r="W24" s="33">
        <f t="shared" si="13"/>
        <v>0</v>
      </c>
    </row>
    <row r="25" spans="1:23" x14ac:dyDescent="0.25">
      <c r="A25" s="19">
        <v>24</v>
      </c>
      <c r="B25" s="19"/>
      <c r="C25" s="43"/>
      <c r="D25" s="44"/>
      <c r="E25" s="37"/>
      <c r="F25" s="37"/>
      <c r="G25" s="37"/>
      <c r="H25" s="45"/>
      <c r="J25" s="48"/>
      <c r="K25" s="48"/>
      <c r="L25" s="48"/>
      <c r="M25" s="48"/>
      <c r="N25" s="23">
        <f t="shared" si="5"/>
        <v>0</v>
      </c>
      <c r="O25" s="23">
        <f t="shared" si="6"/>
        <v>0</v>
      </c>
      <c r="P25" s="23">
        <f t="shared" si="7"/>
        <v>0</v>
      </c>
      <c r="Q25" s="23">
        <f t="shared" si="8"/>
        <v>0</v>
      </c>
      <c r="R25" s="23">
        <f t="shared" si="9"/>
        <v>0</v>
      </c>
      <c r="S25" s="23">
        <f t="shared" si="10"/>
        <v>0</v>
      </c>
      <c r="T25" s="23">
        <f t="shared" si="11"/>
        <v>0</v>
      </c>
      <c r="U25" s="23">
        <f t="shared" si="12"/>
        <v>0</v>
      </c>
      <c r="V25" s="23">
        <f t="shared" si="4"/>
        <v>0</v>
      </c>
      <c r="W25" s="33">
        <f t="shared" si="13"/>
        <v>0</v>
      </c>
    </row>
    <row r="26" spans="1:23" x14ac:dyDescent="0.25">
      <c r="A26" s="19">
        <v>25</v>
      </c>
      <c r="B26" s="19"/>
      <c r="C26" s="43"/>
      <c r="D26" s="44"/>
      <c r="E26" s="37"/>
      <c r="F26" s="37"/>
      <c r="G26" s="37"/>
      <c r="H26" s="45"/>
      <c r="J26" s="48"/>
      <c r="K26" s="48"/>
      <c r="L26" s="48"/>
      <c r="M26" s="48"/>
      <c r="N26" s="23">
        <f t="shared" si="5"/>
        <v>0</v>
      </c>
      <c r="O26" s="23">
        <f t="shared" si="6"/>
        <v>0</v>
      </c>
      <c r="P26" s="23">
        <f t="shared" si="7"/>
        <v>0</v>
      </c>
      <c r="Q26" s="23">
        <f t="shared" si="8"/>
        <v>0</v>
      </c>
      <c r="R26" s="23">
        <f t="shared" si="9"/>
        <v>0</v>
      </c>
      <c r="S26" s="23">
        <f t="shared" si="10"/>
        <v>0</v>
      </c>
      <c r="T26" s="23">
        <f t="shared" si="11"/>
        <v>0</v>
      </c>
      <c r="U26" s="23">
        <f t="shared" si="12"/>
        <v>0</v>
      </c>
      <c r="V26" s="23">
        <f t="shared" si="4"/>
        <v>0</v>
      </c>
      <c r="W26" s="33">
        <f t="shared" si="13"/>
        <v>0</v>
      </c>
    </row>
    <row r="27" spans="1:23" x14ac:dyDescent="0.25">
      <c r="A27" s="19">
        <v>26</v>
      </c>
      <c r="B27" s="19"/>
      <c r="C27" s="43"/>
      <c r="D27" s="44"/>
      <c r="E27" s="37"/>
      <c r="F27" s="37"/>
      <c r="G27" s="37"/>
      <c r="H27" s="45"/>
      <c r="J27" s="48"/>
      <c r="K27" s="48"/>
      <c r="L27" s="48"/>
      <c r="M27" s="48"/>
      <c r="N27" s="23">
        <f t="shared" si="5"/>
        <v>0</v>
      </c>
      <c r="O27" s="23">
        <f t="shared" si="6"/>
        <v>0</v>
      </c>
      <c r="P27" s="23">
        <f t="shared" si="7"/>
        <v>0</v>
      </c>
      <c r="Q27" s="23">
        <f t="shared" si="8"/>
        <v>0</v>
      </c>
      <c r="R27" s="23">
        <f t="shared" si="9"/>
        <v>0</v>
      </c>
      <c r="S27" s="23">
        <f t="shared" si="10"/>
        <v>0</v>
      </c>
      <c r="T27" s="23">
        <f t="shared" si="11"/>
        <v>0</v>
      </c>
      <c r="U27" s="23">
        <f t="shared" si="12"/>
        <v>0</v>
      </c>
      <c r="V27" s="23">
        <f t="shared" si="4"/>
        <v>0</v>
      </c>
      <c r="W27" s="33">
        <f t="shared" si="13"/>
        <v>0</v>
      </c>
    </row>
    <row r="28" spans="1:23" x14ac:dyDescent="0.25">
      <c r="A28" s="19">
        <v>27</v>
      </c>
      <c r="B28" s="19"/>
      <c r="C28" s="43"/>
      <c r="D28" s="44"/>
      <c r="E28" s="37"/>
      <c r="F28" s="37"/>
      <c r="G28" s="37"/>
      <c r="H28" s="45"/>
      <c r="J28" s="48"/>
      <c r="K28" s="48"/>
      <c r="L28" s="48"/>
      <c r="M28" s="48"/>
      <c r="N28" s="23">
        <f t="shared" si="5"/>
        <v>0</v>
      </c>
      <c r="O28" s="23">
        <f t="shared" si="6"/>
        <v>0</v>
      </c>
      <c r="P28" s="23">
        <f t="shared" si="7"/>
        <v>0</v>
      </c>
      <c r="Q28" s="23">
        <f t="shared" si="8"/>
        <v>0</v>
      </c>
      <c r="R28" s="23">
        <f t="shared" si="9"/>
        <v>0</v>
      </c>
      <c r="S28" s="23">
        <f t="shared" si="10"/>
        <v>0</v>
      </c>
      <c r="T28" s="23">
        <f t="shared" si="11"/>
        <v>0</v>
      </c>
      <c r="U28" s="23">
        <f t="shared" si="12"/>
        <v>0</v>
      </c>
      <c r="V28" s="23">
        <f t="shared" si="4"/>
        <v>0</v>
      </c>
      <c r="W28" s="33">
        <f t="shared" si="13"/>
        <v>0</v>
      </c>
    </row>
    <row r="29" spans="1:23" x14ac:dyDescent="0.25">
      <c r="A29" s="19">
        <v>28</v>
      </c>
      <c r="B29" s="19"/>
      <c r="C29" s="43"/>
      <c r="D29" s="44"/>
      <c r="E29" s="37"/>
      <c r="F29" s="37"/>
      <c r="G29" s="37"/>
      <c r="H29" s="45"/>
      <c r="J29" s="48"/>
      <c r="K29" s="48"/>
      <c r="L29" s="48"/>
      <c r="M29" s="48"/>
      <c r="N29" s="23">
        <f t="shared" si="5"/>
        <v>0</v>
      </c>
      <c r="O29" s="23">
        <f t="shared" si="6"/>
        <v>0</v>
      </c>
      <c r="P29" s="23">
        <f t="shared" si="7"/>
        <v>0</v>
      </c>
      <c r="Q29" s="23">
        <f t="shared" si="8"/>
        <v>0</v>
      </c>
      <c r="R29" s="23">
        <f t="shared" si="9"/>
        <v>0</v>
      </c>
      <c r="S29" s="23">
        <f t="shared" si="10"/>
        <v>0</v>
      </c>
      <c r="T29" s="23">
        <f t="shared" si="11"/>
        <v>0</v>
      </c>
      <c r="U29" s="23">
        <f t="shared" si="12"/>
        <v>0</v>
      </c>
      <c r="V29" s="23">
        <f t="shared" si="4"/>
        <v>0</v>
      </c>
      <c r="W29" s="33">
        <f t="shared" si="13"/>
        <v>0</v>
      </c>
    </row>
    <row r="30" spans="1:23" x14ac:dyDescent="0.25">
      <c r="A30" s="19">
        <v>29</v>
      </c>
      <c r="B30" s="19"/>
      <c r="C30" s="43"/>
      <c r="D30" s="44"/>
      <c r="E30" s="37"/>
      <c r="F30" s="37"/>
      <c r="G30" s="37"/>
      <c r="H30" s="45"/>
      <c r="J30" s="48"/>
      <c r="K30" s="48"/>
      <c r="L30" s="48"/>
      <c r="M30" s="48"/>
      <c r="N30" s="23">
        <f t="shared" si="5"/>
        <v>0</v>
      </c>
      <c r="O30" s="23">
        <f t="shared" si="6"/>
        <v>0</v>
      </c>
      <c r="P30" s="23">
        <f t="shared" si="7"/>
        <v>0</v>
      </c>
      <c r="Q30" s="23">
        <f t="shared" si="8"/>
        <v>0</v>
      </c>
      <c r="R30" s="23">
        <f t="shared" si="9"/>
        <v>0</v>
      </c>
      <c r="S30" s="23">
        <f t="shared" si="10"/>
        <v>0</v>
      </c>
      <c r="T30" s="23">
        <f t="shared" si="11"/>
        <v>0</v>
      </c>
      <c r="U30" s="23">
        <f t="shared" si="12"/>
        <v>0</v>
      </c>
      <c r="V30" s="23">
        <f t="shared" si="4"/>
        <v>0</v>
      </c>
      <c r="W30" s="33">
        <f t="shared" si="13"/>
        <v>0</v>
      </c>
    </row>
    <row r="31" spans="1:23" x14ac:dyDescent="0.25">
      <c r="A31" s="19">
        <v>30</v>
      </c>
      <c r="B31" s="19"/>
      <c r="C31" s="43"/>
      <c r="D31" s="44"/>
      <c r="E31" s="37"/>
      <c r="F31" s="37"/>
      <c r="G31" s="37"/>
      <c r="H31" s="45"/>
      <c r="J31" s="48"/>
      <c r="K31" s="48"/>
      <c r="L31" s="48"/>
      <c r="M31" s="48"/>
      <c r="N31" s="23">
        <f t="shared" si="5"/>
        <v>0</v>
      </c>
      <c r="O31" s="23">
        <f t="shared" si="6"/>
        <v>0</v>
      </c>
      <c r="P31" s="23">
        <f t="shared" si="7"/>
        <v>0</v>
      </c>
      <c r="Q31" s="23">
        <f t="shared" si="8"/>
        <v>0</v>
      </c>
      <c r="R31" s="23">
        <f t="shared" si="9"/>
        <v>0</v>
      </c>
      <c r="S31" s="23">
        <f t="shared" si="10"/>
        <v>0</v>
      </c>
      <c r="T31" s="23">
        <f t="shared" si="11"/>
        <v>0</v>
      </c>
      <c r="U31" s="23">
        <f t="shared" si="12"/>
        <v>0</v>
      </c>
      <c r="V31" s="23">
        <f t="shared" si="4"/>
        <v>0</v>
      </c>
      <c r="W31" s="33">
        <f t="shared" si="13"/>
        <v>0</v>
      </c>
    </row>
    <row r="32" spans="1:23" x14ac:dyDescent="0.25">
      <c r="G32" s="20" t="s">
        <v>135</v>
      </c>
      <c r="H32" s="33">
        <f>SUM(H2:H31)</f>
        <v>454.74</v>
      </c>
      <c r="U32" s="20" t="s">
        <v>136</v>
      </c>
      <c r="V32" s="33">
        <f>SUM(V2:V31)</f>
        <v>520.04492608888893</v>
      </c>
      <c r="W32" s="33">
        <f>SUM(W2:W31)</f>
        <v>-65.304926088888919</v>
      </c>
    </row>
    <row r="36" spans="3:9" x14ac:dyDescent="0.25">
      <c r="I36" t="s">
        <v>140</v>
      </c>
    </row>
    <row r="40" spans="3:9" ht="15.75" x14ac:dyDescent="0.25">
      <c r="C40" s="1" t="s">
        <v>205</v>
      </c>
    </row>
    <row r="42" spans="3:9" x14ac:dyDescent="0.25">
      <c r="C42" t="s">
        <v>206</v>
      </c>
    </row>
    <row r="43" spans="3:9" x14ac:dyDescent="0.25">
      <c r="D43" s="53" t="s">
        <v>207</v>
      </c>
    </row>
    <row r="45" spans="3:9" x14ac:dyDescent="0.25">
      <c r="C45" t="s">
        <v>208</v>
      </c>
    </row>
    <row r="46" spans="3:9" x14ac:dyDescent="0.25">
      <c r="D46" t="s">
        <v>209</v>
      </c>
    </row>
    <row r="48" spans="3:9" x14ac:dyDescent="0.25">
      <c r="C48" s="18" t="s">
        <v>210</v>
      </c>
    </row>
    <row r="50" spans="3:5" x14ac:dyDescent="0.25">
      <c r="C50" s="59" t="s">
        <v>125</v>
      </c>
      <c r="D50" s="59"/>
      <c r="E50" t="s">
        <v>211</v>
      </c>
    </row>
    <row r="51" spans="3:5" x14ac:dyDescent="0.25">
      <c r="C51" s="59" t="s">
        <v>126</v>
      </c>
      <c r="D51" s="59"/>
      <c r="E51" t="s">
        <v>212</v>
      </c>
    </row>
    <row r="52" spans="3:5" x14ac:dyDescent="0.25">
      <c r="C52" s="59" t="s">
        <v>42</v>
      </c>
      <c r="D52" s="59"/>
      <c r="E52" t="s">
        <v>213</v>
      </c>
    </row>
    <row r="53" spans="3:5" x14ac:dyDescent="0.25">
      <c r="C53" s="59" t="s">
        <v>43</v>
      </c>
      <c r="D53" s="59"/>
      <c r="E53" t="s">
        <v>214</v>
      </c>
    </row>
    <row r="54" spans="3:5" x14ac:dyDescent="0.25">
      <c r="C54" s="59" t="s">
        <v>137</v>
      </c>
      <c r="D54" s="59"/>
      <c r="E54" t="s">
        <v>217</v>
      </c>
    </row>
    <row r="55" spans="3:5" x14ac:dyDescent="0.25">
      <c r="C55" s="59" t="s">
        <v>138</v>
      </c>
      <c r="D55" s="59"/>
      <c r="E55" t="s">
        <v>215</v>
      </c>
    </row>
    <row r="56" spans="3:5" x14ac:dyDescent="0.25">
      <c r="C56" s="59" t="s">
        <v>139</v>
      </c>
      <c r="D56" s="59"/>
      <c r="E56" t="s">
        <v>216</v>
      </c>
    </row>
    <row r="57" spans="3:5" x14ac:dyDescent="0.25">
      <c r="C57" s="59" t="s">
        <v>18</v>
      </c>
      <c r="D57" s="59"/>
      <c r="E57" t="s">
        <v>218</v>
      </c>
    </row>
    <row r="58" spans="3:5" x14ac:dyDescent="0.25">
      <c r="C58" s="60"/>
      <c r="D58" s="60"/>
    </row>
    <row r="59" spans="3:5" x14ac:dyDescent="0.25">
      <c r="C59" s="59" t="s">
        <v>11</v>
      </c>
      <c r="D59" s="59"/>
      <c r="E59" t="s">
        <v>219</v>
      </c>
    </row>
    <row r="60" spans="3:5" x14ac:dyDescent="0.25">
      <c r="C60" s="59" t="s">
        <v>12</v>
      </c>
      <c r="D60" s="59"/>
      <c r="E60" t="s">
        <v>220</v>
      </c>
    </row>
    <row r="61" spans="3:5" x14ac:dyDescent="0.25">
      <c r="C61" s="59" t="s">
        <v>13</v>
      </c>
      <c r="D61" s="59"/>
      <c r="E61" t="s">
        <v>221</v>
      </c>
    </row>
    <row r="62" spans="3:5" x14ac:dyDescent="0.25">
      <c r="C62" s="59" t="s">
        <v>14</v>
      </c>
      <c r="D62" s="59"/>
      <c r="E62" t="s">
        <v>222</v>
      </c>
    </row>
    <row r="63" spans="3:5" x14ac:dyDescent="0.25">
      <c r="C63" s="59" t="s">
        <v>127</v>
      </c>
      <c r="D63" s="59"/>
      <c r="E63" t="s">
        <v>223</v>
      </c>
    </row>
    <row r="64" spans="3:5" x14ac:dyDescent="0.25">
      <c r="C64" s="59" t="s">
        <v>128</v>
      </c>
      <c r="D64" s="59"/>
      <c r="E64" t="s">
        <v>224</v>
      </c>
    </row>
    <row r="65" spans="2:5" x14ac:dyDescent="0.25">
      <c r="C65" s="59" t="s">
        <v>129</v>
      </c>
      <c r="D65" s="59"/>
      <c r="E65" t="s">
        <v>235</v>
      </c>
    </row>
    <row r="66" spans="2:5" x14ac:dyDescent="0.25">
      <c r="C66" s="59" t="s">
        <v>130</v>
      </c>
      <c r="D66" s="59"/>
      <c r="E66" t="s">
        <v>236</v>
      </c>
    </row>
    <row r="67" spans="2:5" x14ac:dyDescent="0.25">
      <c r="C67" s="59" t="s">
        <v>131</v>
      </c>
      <c r="D67" s="59"/>
      <c r="E67" t="s">
        <v>225</v>
      </c>
    </row>
    <row r="68" spans="2:5" x14ac:dyDescent="0.25">
      <c r="C68" s="59" t="s">
        <v>132</v>
      </c>
      <c r="D68" s="59"/>
      <c r="E68" t="s">
        <v>226</v>
      </c>
    </row>
    <row r="69" spans="2:5" x14ac:dyDescent="0.25">
      <c r="C69" s="59" t="s">
        <v>133</v>
      </c>
      <c r="D69" s="59"/>
      <c r="E69" t="s">
        <v>227</v>
      </c>
    </row>
    <row r="70" spans="2:5" x14ac:dyDescent="0.25">
      <c r="C70" s="59" t="s">
        <v>134</v>
      </c>
      <c r="D70" s="59"/>
      <c r="E70" t="s">
        <v>228</v>
      </c>
    </row>
    <row r="71" spans="2:5" x14ac:dyDescent="0.25">
      <c r="C71" s="59" t="s">
        <v>18</v>
      </c>
      <c r="D71" s="59"/>
      <c r="E71" t="s">
        <v>229</v>
      </c>
    </row>
    <row r="72" spans="2:5" x14ac:dyDescent="0.25">
      <c r="C72" s="59" t="s">
        <v>41</v>
      </c>
      <c r="D72" s="59"/>
      <c r="E72" t="s">
        <v>230</v>
      </c>
    </row>
    <row r="74" spans="2:5" ht="15.75" x14ac:dyDescent="0.25">
      <c r="C74" s="21" t="s">
        <v>237</v>
      </c>
      <c r="D74" t="s">
        <v>238</v>
      </c>
    </row>
    <row r="75" spans="2:5" x14ac:dyDescent="0.25">
      <c r="D75" t="s">
        <v>240</v>
      </c>
    </row>
    <row r="76" spans="2:5" x14ac:dyDescent="0.25">
      <c r="D76" t="s">
        <v>239</v>
      </c>
    </row>
    <row r="79" spans="2:5" ht="18.75" x14ac:dyDescent="0.3">
      <c r="B79" s="56" t="s">
        <v>280</v>
      </c>
    </row>
    <row r="80" spans="2:5" ht="15.75" x14ac:dyDescent="0.25">
      <c r="C80" s="1" t="s">
        <v>334</v>
      </c>
    </row>
    <row r="82" spans="3:5" x14ac:dyDescent="0.25">
      <c r="C82" t="s">
        <v>331</v>
      </c>
    </row>
    <row r="83" spans="3:5" x14ac:dyDescent="0.25">
      <c r="D83" s="53" t="s">
        <v>207</v>
      </c>
    </row>
    <row r="85" spans="3:5" x14ac:dyDescent="0.25">
      <c r="C85" t="s">
        <v>332</v>
      </c>
    </row>
    <row r="86" spans="3:5" x14ac:dyDescent="0.25">
      <c r="D86" t="s">
        <v>333</v>
      </c>
    </row>
    <row r="88" spans="3:5" x14ac:dyDescent="0.25">
      <c r="C88" s="18" t="s">
        <v>305</v>
      </c>
    </row>
    <row r="90" spans="3:5" x14ac:dyDescent="0.25">
      <c r="C90" s="59" t="s">
        <v>125</v>
      </c>
      <c r="D90" s="59"/>
      <c r="E90" t="s">
        <v>306</v>
      </c>
    </row>
    <row r="91" spans="3:5" x14ac:dyDescent="0.25">
      <c r="C91" s="59" t="s">
        <v>126</v>
      </c>
      <c r="D91" s="59"/>
      <c r="E91" t="s">
        <v>307</v>
      </c>
    </row>
    <row r="92" spans="3:5" x14ac:dyDescent="0.25">
      <c r="C92" s="59" t="s">
        <v>42</v>
      </c>
      <c r="D92" s="59"/>
      <c r="E92" t="s">
        <v>308</v>
      </c>
    </row>
    <row r="93" spans="3:5" x14ac:dyDescent="0.25">
      <c r="C93" s="59" t="s">
        <v>43</v>
      </c>
      <c r="D93" s="59"/>
      <c r="E93" t="s">
        <v>309</v>
      </c>
    </row>
    <row r="94" spans="3:5" x14ac:dyDescent="0.25">
      <c r="C94" s="59" t="s">
        <v>137</v>
      </c>
      <c r="D94" s="59"/>
      <c r="E94" t="s">
        <v>310</v>
      </c>
    </row>
    <row r="95" spans="3:5" x14ac:dyDescent="0.25">
      <c r="C95" s="59" t="s">
        <v>138</v>
      </c>
      <c r="D95" s="59"/>
      <c r="E95" t="s">
        <v>311</v>
      </c>
    </row>
    <row r="96" spans="3:5" x14ac:dyDescent="0.25">
      <c r="C96" s="59" t="s">
        <v>139</v>
      </c>
      <c r="D96" s="59"/>
      <c r="E96" t="s">
        <v>312</v>
      </c>
    </row>
    <row r="97" spans="3:5" x14ac:dyDescent="0.25">
      <c r="C97" s="59" t="s">
        <v>18</v>
      </c>
      <c r="D97" s="59"/>
      <c r="E97" t="s">
        <v>313</v>
      </c>
    </row>
    <row r="98" spans="3:5" x14ac:dyDescent="0.25">
      <c r="C98" s="60"/>
      <c r="D98" s="60"/>
    </row>
    <row r="99" spans="3:5" x14ac:dyDescent="0.25">
      <c r="C99" s="59" t="s">
        <v>11</v>
      </c>
      <c r="D99" s="59"/>
      <c r="E99" t="s">
        <v>314</v>
      </c>
    </row>
    <row r="100" spans="3:5" x14ac:dyDescent="0.25">
      <c r="C100" s="59" t="s">
        <v>12</v>
      </c>
      <c r="D100" s="59"/>
      <c r="E100" t="s">
        <v>315</v>
      </c>
    </row>
    <row r="101" spans="3:5" x14ac:dyDescent="0.25">
      <c r="C101" s="59" t="s">
        <v>13</v>
      </c>
      <c r="D101" s="59"/>
      <c r="E101" t="s">
        <v>316</v>
      </c>
    </row>
    <row r="102" spans="3:5" x14ac:dyDescent="0.25">
      <c r="C102" s="59" t="s">
        <v>14</v>
      </c>
      <c r="D102" s="59"/>
      <c r="E102" t="s">
        <v>317</v>
      </c>
    </row>
    <row r="103" spans="3:5" x14ac:dyDescent="0.25">
      <c r="C103" s="59" t="s">
        <v>127</v>
      </c>
      <c r="D103" s="59"/>
      <c r="E103" t="s">
        <v>318</v>
      </c>
    </row>
    <row r="104" spans="3:5" x14ac:dyDescent="0.25">
      <c r="C104" s="59" t="s">
        <v>128</v>
      </c>
      <c r="D104" s="59"/>
      <c r="E104" t="s">
        <v>319</v>
      </c>
    </row>
    <row r="105" spans="3:5" x14ac:dyDescent="0.25">
      <c r="C105" s="59" t="s">
        <v>129</v>
      </c>
      <c r="D105" s="59"/>
      <c r="E105" t="s">
        <v>320</v>
      </c>
    </row>
    <row r="106" spans="3:5" x14ac:dyDescent="0.25">
      <c r="C106" s="59" t="s">
        <v>130</v>
      </c>
      <c r="D106" s="59"/>
      <c r="E106" t="s">
        <v>321</v>
      </c>
    </row>
    <row r="107" spans="3:5" x14ac:dyDescent="0.25">
      <c r="C107" s="59" t="s">
        <v>131</v>
      </c>
      <c r="D107" s="59"/>
      <c r="E107" t="s">
        <v>322</v>
      </c>
    </row>
    <row r="108" spans="3:5" x14ac:dyDescent="0.25">
      <c r="C108" s="59" t="s">
        <v>132</v>
      </c>
      <c r="D108" s="59"/>
      <c r="E108" t="s">
        <v>323</v>
      </c>
    </row>
    <row r="109" spans="3:5" x14ac:dyDescent="0.25">
      <c r="C109" s="59" t="s">
        <v>133</v>
      </c>
      <c r="D109" s="59"/>
      <c r="E109" t="s">
        <v>324</v>
      </c>
    </row>
    <row r="110" spans="3:5" x14ac:dyDescent="0.25">
      <c r="C110" s="59" t="s">
        <v>134</v>
      </c>
      <c r="D110" s="59"/>
      <c r="E110" t="s">
        <v>325</v>
      </c>
    </row>
    <row r="111" spans="3:5" x14ac:dyDescent="0.25">
      <c r="C111" s="59" t="s">
        <v>18</v>
      </c>
      <c r="D111" s="59"/>
      <c r="E111" t="s">
        <v>326</v>
      </c>
    </row>
    <row r="112" spans="3:5" x14ac:dyDescent="0.25">
      <c r="C112" s="59" t="s">
        <v>41</v>
      </c>
      <c r="D112" s="59"/>
      <c r="E112" t="s">
        <v>327</v>
      </c>
    </row>
    <row r="114" spans="3:4" ht="15.75" x14ac:dyDescent="0.25">
      <c r="C114" s="21" t="s">
        <v>237</v>
      </c>
      <c r="D114" t="s">
        <v>328</v>
      </c>
    </row>
    <row r="115" spans="3:4" x14ac:dyDescent="0.25">
      <c r="D115" t="s">
        <v>329</v>
      </c>
    </row>
    <row r="116" spans="3:4" x14ac:dyDescent="0.25">
      <c r="D116" t="s">
        <v>330</v>
      </c>
    </row>
  </sheetData>
  <sheetProtection sheet="1" objects="1" scenarios="1"/>
  <mergeCells count="46">
    <mergeCell ref="C110:D110"/>
    <mergeCell ref="C111:D111"/>
    <mergeCell ref="C112:D112"/>
    <mergeCell ref="C105:D105"/>
    <mergeCell ref="C106:D106"/>
    <mergeCell ref="C107:D107"/>
    <mergeCell ref="C108:D108"/>
    <mergeCell ref="C109:D109"/>
    <mergeCell ref="C100:D100"/>
    <mergeCell ref="C101:D101"/>
    <mergeCell ref="C102:D102"/>
    <mergeCell ref="C103:D103"/>
    <mergeCell ref="C104:D104"/>
    <mergeCell ref="C95:D95"/>
    <mergeCell ref="C96:D96"/>
    <mergeCell ref="C97:D97"/>
    <mergeCell ref="C98:D98"/>
    <mergeCell ref="C99:D99"/>
    <mergeCell ref="C90:D90"/>
    <mergeCell ref="C91:D91"/>
    <mergeCell ref="C92:D92"/>
    <mergeCell ref="C93:D93"/>
    <mergeCell ref="C94:D94"/>
    <mergeCell ref="C72:D72"/>
    <mergeCell ref="C61:D61"/>
    <mergeCell ref="C62:D62"/>
    <mergeCell ref="C63:D63"/>
    <mergeCell ref="C64:D64"/>
    <mergeCell ref="C65:D65"/>
    <mergeCell ref="C66:D66"/>
    <mergeCell ref="C67:D67"/>
    <mergeCell ref="C68:D68"/>
    <mergeCell ref="C69:D69"/>
    <mergeCell ref="C70:D70"/>
    <mergeCell ref="C71:D71"/>
    <mergeCell ref="C60:D60"/>
    <mergeCell ref="C50:D50"/>
    <mergeCell ref="C51:D51"/>
    <mergeCell ref="C52:D52"/>
    <mergeCell ref="C53:D53"/>
    <mergeCell ref="C54:D54"/>
    <mergeCell ref="C55:D55"/>
    <mergeCell ref="C56:D56"/>
    <mergeCell ref="C57:D57"/>
    <mergeCell ref="C58:D58"/>
    <mergeCell ref="C59:D59"/>
  </mergeCells>
  <hyperlinks>
    <hyperlink ref="D43" r:id="rId1"/>
    <hyperlink ref="D83" r:id="rId2"/>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121" r:id="rId6" name="Button 1">
              <controlPr defaultSize="0" print="0" autoFill="0" autoPict="0" macro="[0]!UpdateAllFromData">
                <anchor moveWithCells="1">
                  <from>
                    <xdr:col>8</xdr:col>
                    <xdr:colOff>66675</xdr:colOff>
                    <xdr:row>0</xdr:row>
                    <xdr:rowOff>85725</xdr:rowOff>
                  </from>
                  <to>
                    <xdr:col>9</xdr:col>
                    <xdr:colOff>0</xdr:colOff>
                    <xdr:row>0</xdr:row>
                    <xdr:rowOff>323850</xdr:rowOff>
                  </to>
                </anchor>
              </controlPr>
            </control>
          </mc:Choice>
        </mc:AlternateContent>
        <mc:AlternateContent xmlns:mc="http://schemas.openxmlformats.org/markup-compatibility/2006">
          <mc:Choice Requires="x14">
            <control shapeId="5122" r:id="rId7" name="Button 2">
              <controlPr defaultSize="0" print="0" autoFill="0" autoPict="0" macro="[0]!loadEventIntoSimulator">
                <anchor moveWithCells="1">
                  <from>
                    <xdr:col>18</xdr:col>
                    <xdr:colOff>257175</xdr:colOff>
                    <xdr:row>34</xdr:row>
                    <xdr:rowOff>171450</xdr:rowOff>
                  </from>
                  <to>
                    <xdr:col>21</xdr:col>
                    <xdr:colOff>390525</xdr:colOff>
                    <xdr:row>36</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X55"/>
  <sheetViews>
    <sheetView zoomScale="90" zoomScaleNormal="90" workbookViewId="0">
      <selection activeCell="A4" sqref="A4"/>
    </sheetView>
  </sheetViews>
  <sheetFormatPr defaultRowHeight="15" x14ac:dyDescent="0.25"/>
  <cols>
    <col min="1" max="1" width="11.42578125" customWidth="1"/>
    <col min="2" max="3" width="11.28515625" customWidth="1"/>
    <col min="4" max="4" width="13.7109375" customWidth="1"/>
    <col min="5" max="5" width="10.7109375" customWidth="1"/>
    <col min="6" max="6" width="11.85546875" customWidth="1"/>
    <col min="7" max="7" width="12.28515625" customWidth="1"/>
    <col min="8" max="8" width="10.5703125" bestFit="1" customWidth="1"/>
    <col min="9" max="9" width="12.5703125" customWidth="1"/>
    <col min="10" max="10" width="13.28515625" customWidth="1"/>
    <col min="11" max="11" width="13.7109375" bestFit="1" customWidth="1"/>
    <col min="12" max="14" width="10.5703125" bestFit="1" customWidth="1"/>
    <col min="15" max="15" width="11.5703125" customWidth="1"/>
    <col min="16" max="16" width="10.85546875" customWidth="1"/>
    <col min="17" max="17" width="11.5703125" customWidth="1"/>
    <col min="18" max="18" width="11.85546875" customWidth="1"/>
    <col min="19" max="19" width="22.28515625" customWidth="1"/>
    <col min="20" max="20" width="3.140625" customWidth="1"/>
    <col min="21" max="21" width="3.28515625" customWidth="1"/>
    <col min="24" max="24" width="19.140625" customWidth="1"/>
  </cols>
  <sheetData>
    <row r="1" spans="1:20" ht="15.75" x14ac:dyDescent="0.25">
      <c r="A1" s="1" t="s">
        <v>26</v>
      </c>
    </row>
    <row r="2" spans="1:20" ht="15.75" x14ac:dyDescent="0.25">
      <c r="A2" t="s">
        <v>44</v>
      </c>
      <c r="I2" s="21" t="s">
        <v>53</v>
      </c>
    </row>
    <row r="3" spans="1:20" ht="15.75" x14ac:dyDescent="0.25">
      <c r="I3" s="18" t="s">
        <v>260</v>
      </c>
    </row>
    <row r="4" spans="1:20" x14ac:dyDescent="0.25">
      <c r="A4" s="38"/>
      <c r="B4" s="61" t="s">
        <v>201</v>
      </c>
      <c r="C4" s="62"/>
      <c r="D4" s="63"/>
      <c r="E4" s="2" t="s">
        <v>259</v>
      </c>
      <c r="I4" t="s">
        <v>2</v>
      </c>
      <c r="Q4" s="61" t="s">
        <v>261</v>
      </c>
      <c r="R4" s="62"/>
      <c r="S4" s="63"/>
      <c r="T4" s="2" t="s">
        <v>271</v>
      </c>
    </row>
    <row r="5" spans="1:20" x14ac:dyDescent="0.25">
      <c r="A5" s="35">
        <v>3.99</v>
      </c>
      <c r="B5" s="61" t="s">
        <v>0</v>
      </c>
      <c r="C5" s="62"/>
      <c r="D5" s="63"/>
      <c r="E5" s="2" t="s">
        <v>56</v>
      </c>
      <c r="I5" t="s">
        <v>4</v>
      </c>
      <c r="Q5" s="61" t="s">
        <v>262</v>
      </c>
      <c r="R5" s="62"/>
      <c r="S5" s="63"/>
      <c r="T5" s="2" t="s">
        <v>272</v>
      </c>
    </row>
    <row r="6" spans="1:20" x14ac:dyDescent="0.25">
      <c r="A6" s="36">
        <v>14.259999999999996</v>
      </c>
      <c r="B6" s="61" t="s">
        <v>1</v>
      </c>
      <c r="C6" s="62"/>
      <c r="D6" s="63"/>
      <c r="E6" s="2" t="s">
        <v>56</v>
      </c>
      <c r="Q6" s="61" t="s">
        <v>263</v>
      </c>
      <c r="R6" s="62"/>
      <c r="S6" s="63"/>
      <c r="T6" s="2" t="s">
        <v>272</v>
      </c>
    </row>
    <row r="7" spans="1:20" x14ac:dyDescent="0.25">
      <c r="A7" s="57">
        <v>0.56786000000000003</v>
      </c>
      <c r="B7" s="61" t="s">
        <v>3</v>
      </c>
      <c r="C7" s="62"/>
      <c r="D7" s="63"/>
      <c r="E7" s="2" t="s">
        <v>57</v>
      </c>
      <c r="Q7" s="61" t="s">
        <v>264</v>
      </c>
      <c r="R7" s="62"/>
      <c r="S7" s="63"/>
      <c r="T7" s="2" t="s">
        <v>273</v>
      </c>
    </row>
    <row r="8" spans="1:20" x14ac:dyDescent="0.25">
      <c r="A8" s="37" t="s">
        <v>24</v>
      </c>
      <c r="B8" s="61" t="s">
        <v>6</v>
      </c>
      <c r="C8" s="62"/>
      <c r="D8" s="63"/>
      <c r="E8" s="2" t="s">
        <v>54</v>
      </c>
      <c r="Q8" s="61" t="s">
        <v>265</v>
      </c>
      <c r="R8" s="62"/>
      <c r="S8" s="63"/>
      <c r="T8" s="2" t="s">
        <v>274</v>
      </c>
    </row>
    <row r="9" spans="1:20" x14ac:dyDescent="0.25">
      <c r="A9" s="39">
        <v>17.39</v>
      </c>
      <c r="B9" s="67" t="s">
        <v>47</v>
      </c>
      <c r="C9" s="68"/>
      <c r="D9" s="69"/>
      <c r="E9" s="2" t="s">
        <v>52</v>
      </c>
      <c r="Q9" s="61" t="s">
        <v>266</v>
      </c>
      <c r="R9" s="62"/>
      <c r="S9" s="63"/>
      <c r="T9" s="2" t="s">
        <v>275</v>
      </c>
    </row>
    <row r="10" spans="1:20" x14ac:dyDescent="0.25">
      <c r="A10" s="39">
        <v>29.89</v>
      </c>
      <c r="B10" s="64" t="s">
        <v>48</v>
      </c>
      <c r="C10" s="65"/>
      <c r="D10" s="66"/>
      <c r="E10" s="2" t="s">
        <v>51</v>
      </c>
      <c r="Q10" s="67" t="s">
        <v>267</v>
      </c>
      <c r="R10" s="68"/>
      <c r="S10" s="69"/>
      <c r="T10" s="2" t="s">
        <v>276</v>
      </c>
    </row>
    <row r="11" spans="1:20" x14ac:dyDescent="0.25">
      <c r="A11" s="36">
        <v>5.31</v>
      </c>
      <c r="B11" s="67" t="s">
        <v>45</v>
      </c>
      <c r="C11" s="68"/>
      <c r="D11" s="69"/>
      <c r="E11" s="2" t="s">
        <v>55</v>
      </c>
      <c r="Q11" s="64" t="s">
        <v>268</v>
      </c>
      <c r="R11" s="65"/>
      <c r="S11" s="66"/>
      <c r="T11" s="2" t="s">
        <v>277</v>
      </c>
    </row>
    <row r="12" spans="1:20" x14ac:dyDescent="0.25">
      <c r="A12" s="38">
        <v>20.060000000000002</v>
      </c>
      <c r="B12" s="64" t="s">
        <v>46</v>
      </c>
      <c r="C12" s="65"/>
      <c r="D12" s="66"/>
      <c r="E12" s="2" t="s">
        <v>59</v>
      </c>
      <c r="Q12" s="67" t="s">
        <v>269</v>
      </c>
      <c r="R12" s="68"/>
      <c r="S12" s="69"/>
      <c r="T12" s="2" t="s">
        <v>278</v>
      </c>
    </row>
    <row r="13" spans="1:20" x14ac:dyDescent="0.25">
      <c r="A13" s="22">
        <f>B16</f>
        <v>27.277500000000003</v>
      </c>
      <c r="B13" s="61" t="s">
        <v>49</v>
      </c>
      <c r="C13" s="62"/>
      <c r="D13" s="63"/>
      <c r="E13" s="2" t="s">
        <v>50</v>
      </c>
      <c r="Q13" s="64" t="s">
        <v>270</v>
      </c>
      <c r="R13" s="65"/>
      <c r="S13" s="66"/>
      <c r="T13" s="2" t="s">
        <v>279</v>
      </c>
    </row>
    <row r="14" spans="1:20" x14ac:dyDescent="0.25">
      <c r="E14" s="2"/>
      <c r="F14" s="2"/>
    </row>
    <row r="15" spans="1:20" x14ac:dyDescent="0.25">
      <c r="B15" s="11" t="s">
        <v>60</v>
      </c>
      <c r="C15" s="11" t="s">
        <v>18</v>
      </c>
      <c r="D15" t="s">
        <v>19</v>
      </c>
      <c r="E15" s="2"/>
      <c r="F15" s="2" t="s">
        <v>25</v>
      </c>
    </row>
    <row r="16" spans="1:20" x14ac:dyDescent="0.25">
      <c r="A16" t="s">
        <v>34</v>
      </c>
      <c r="B16" s="15">
        <f>IF($A$8="AM",((40+A11-A6)*0.75+A5),((40+A11-A6)*0.5+A5))</f>
        <v>27.277500000000003</v>
      </c>
      <c r="C16" s="16">
        <f>K44</f>
        <v>22.373683999999997</v>
      </c>
      <c r="D16" s="61" t="s">
        <v>20</v>
      </c>
      <c r="E16" s="63"/>
      <c r="F16" s="13" t="str">
        <f>IF($K$44&gt;$L$44, "Yes", "No")</f>
        <v>Yes</v>
      </c>
      <c r="G16" s="2" t="s">
        <v>22</v>
      </c>
    </row>
    <row r="17" spans="1:12" x14ac:dyDescent="0.25">
      <c r="B17" s="14"/>
      <c r="C17" s="16">
        <f>L44</f>
        <v>2.7484423999999978</v>
      </c>
      <c r="D17" s="61" t="s">
        <v>21</v>
      </c>
      <c r="E17" s="63"/>
      <c r="F17" s="13" t="str">
        <f>IF($K$44&lt;$L$44, "Yes", "No")</f>
        <v>No</v>
      </c>
      <c r="G17" s="12" t="s">
        <v>23</v>
      </c>
    </row>
    <row r="18" spans="1:12" x14ac:dyDescent="0.25">
      <c r="B18" s="14"/>
      <c r="C18" s="24"/>
      <c r="D18" s="25"/>
      <c r="E18" s="25"/>
      <c r="F18" s="12"/>
      <c r="G18" s="12"/>
    </row>
    <row r="19" spans="1:12" ht="15.75" x14ac:dyDescent="0.25">
      <c r="A19" s="1" t="s">
        <v>58</v>
      </c>
    </row>
    <row r="20" spans="1:12" x14ac:dyDescent="0.25">
      <c r="B20" s="11" t="s">
        <v>61</v>
      </c>
      <c r="C20" s="11"/>
      <c r="E20" s="2"/>
      <c r="F20" s="2"/>
    </row>
    <row r="21" spans="1:12" ht="18.75" x14ac:dyDescent="0.3">
      <c r="A21" t="s">
        <v>34</v>
      </c>
      <c r="B21" s="29">
        <f>IF(A10&gt;A13,(A11+IF(A8="AM",(A10-A13)/3*4,(A10-A13)*2)),0)</f>
        <v>8.7933333333333294</v>
      </c>
      <c r="D21" s="31" t="s">
        <v>122</v>
      </c>
      <c r="E21" s="30">
        <f>IF( B21&gt;0,(IF(A12&gt;B21, K33,K44)-A7*((A10-A13)+(B21-A11)+(A12-B21))),C16)</f>
        <v>6.4570414166666623</v>
      </c>
      <c r="F21" s="2" t="s">
        <v>123</v>
      </c>
    </row>
    <row r="22" spans="1:12" x14ac:dyDescent="0.25">
      <c r="B22" s="14"/>
    </row>
    <row r="23" spans="1:12" x14ac:dyDescent="0.25">
      <c r="E23" t="s">
        <v>7</v>
      </c>
      <c r="G23" t="s">
        <v>8</v>
      </c>
      <c r="I23" t="s">
        <v>9</v>
      </c>
      <c r="K23" t="s">
        <v>10</v>
      </c>
    </row>
    <row r="24" spans="1:12" x14ac:dyDescent="0.25">
      <c r="A24" t="s">
        <v>11</v>
      </c>
      <c r="B24" t="s">
        <v>12</v>
      </c>
      <c r="C24" t="s">
        <v>13</v>
      </c>
      <c r="D24" t="s">
        <v>14</v>
      </c>
      <c r="E24" t="s">
        <v>15</v>
      </c>
      <c r="F24" t="s">
        <v>16</v>
      </c>
      <c r="G24" t="s">
        <v>15</v>
      </c>
      <c r="H24" t="s">
        <v>16</v>
      </c>
      <c r="I24" t="s">
        <v>15</v>
      </c>
      <c r="J24" t="s">
        <v>16</v>
      </c>
      <c r="K24" t="s">
        <v>15</v>
      </c>
      <c r="L24" t="s">
        <v>16</v>
      </c>
    </row>
    <row r="25" spans="1:12" x14ac:dyDescent="0.25">
      <c r="A25" s="3">
        <f>A5</f>
        <v>3.99</v>
      </c>
      <c r="B25" s="3">
        <f>A6</f>
        <v>14.259999999999996</v>
      </c>
      <c r="C25" s="4">
        <f t="shared" ref="C25:C31" si="0">C26-1</f>
        <v>21.89</v>
      </c>
      <c r="D25" s="3">
        <f>IF(A12="",A11,A12)</f>
        <v>20.060000000000002</v>
      </c>
      <c r="E25" s="3">
        <f>IF(C25-A25&lt;0,0,C25-A25)</f>
        <v>17.899999999999999</v>
      </c>
      <c r="F25" s="3">
        <f>A25*2</f>
        <v>7.98</v>
      </c>
      <c r="G25" s="3">
        <f>B25+IF($A$8="AM", E25/3*4,E25*2)</f>
        <v>38.126666666666658</v>
      </c>
      <c r="H25" s="3">
        <f>B25+IF($A$8="AM",F25/3*4,F25*2)</f>
        <v>24.9</v>
      </c>
      <c r="I25" s="3">
        <f>G25-D25</f>
        <v>18.066666666666656</v>
      </c>
      <c r="J25" s="3">
        <f>H25-D25</f>
        <v>4.8399999999999963</v>
      </c>
      <c r="K25" s="5">
        <f t="shared" ref="K25:K32" si="1">IF(I25&lt;=40,I25*$A$7,0)</f>
        <v>10.259337333333328</v>
      </c>
      <c r="L25" s="5">
        <f>IF(I25&lt;40,0,J25*$A$7)</f>
        <v>0</v>
      </c>
    </row>
    <row r="26" spans="1:12" x14ac:dyDescent="0.25">
      <c r="A26" s="3">
        <f>A25</f>
        <v>3.99</v>
      </c>
      <c r="B26" s="3">
        <f>B25</f>
        <v>14.259999999999996</v>
      </c>
      <c r="C26" s="4">
        <f t="shared" si="0"/>
        <v>22.89</v>
      </c>
      <c r="D26" s="3">
        <f>D25</f>
        <v>20.060000000000002</v>
      </c>
      <c r="E26" s="3">
        <f t="shared" ref="E26:E42" si="2">IF(C26-A26&lt;0,0,C26-A26)</f>
        <v>18.899999999999999</v>
      </c>
      <c r="F26" s="3">
        <f t="shared" ref="F26:F42" si="3">A26*2</f>
        <v>7.98</v>
      </c>
      <c r="G26" s="3">
        <f t="shared" ref="G26:G42" si="4">B26+IF($A$8="AM", E26/3*4,E26*2)</f>
        <v>39.459999999999994</v>
      </c>
      <c r="H26" s="3">
        <f t="shared" ref="H26:H42" si="5">B26+IF($A$8="AM",F26/3*4,F26*2)</f>
        <v>24.9</v>
      </c>
      <c r="I26" s="3">
        <f t="shared" ref="I26:I42" si="6">G26-D26</f>
        <v>19.399999999999991</v>
      </c>
      <c r="J26" s="3">
        <f t="shared" ref="J26:J42" si="7">H26-D26</f>
        <v>4.8399999999999963</v>
      </c>
      <c r="K26" s="5">
        <f t="shared" si="1"/>
        <v>11.016483999999997</v>
      </c>
      <c r="L26" s="5">
        <f t="shared" ref="L26:L42" si="8">IF(I26&lt;40,0,J26*$A$7)</f>
        <v>0</v>
      </c>
    </row>
    <row r="27" spans="1:12" x14ac:dyDescent="0.25">
      <c r="A27" s="3">
        <f t="shared" ref="A27:B42" si="9">A26</f>
        <v>3.99</v>
      </c>
      <c r="B27" s="3">
        <f t="shared" si="9"/>
        <v>14.259999999999996</v>
      </c>
      <c r="C27" s="4">
        <f t="shared" si="0"/>
        <v>23.89</v>
      </c>
      <c r="D27" s="3">
        <f t="shared" ref="D27:D42" si="10">D26</f>
        <v>20.060000000000002</v>
      </c>
      <c r="E27" s="3">
        <f t="shared" si="2"/>
        <v>19.899999999999999</v>
      </c>
      <c r="F27" s="3">
        <f t="shared" si="3"/>
        <v>7.98</v>
      </c>
      <c r="G27" s="3">
        <f t="shared" si="4"/>
        <v>40.793333333333329</v>
      </c>
      <c r="H27" s="3">
        <f t="shared" si="5"/>
        <v>24.9</v>
      </c>
      <c r="I27" s="3">
        <f t="shared" si="6"/>
        <v>20.733333333333327</v>
      </c>
      <c r="J27" s="3">
        <f t="shared" si="7"/>
        <v>4.8399999999999963</v>
      </c>
      <c r="K27" s="5">
        <f t="shared" si="1"/>
        <v>11.773630666666664</v>
      </c>
      <c r="L27" s="5">
        <f t="shared" si="8"/>
        <v>0</v>
      </c>
    </row>
    <row r="28" spans="1:12" x14ac:dyDescent="0.25">
      <c r="A28" s="3">
        <f t="shared" si="9"/>
        <v>3.99</v>
      </c>
      <c r="B28" s="3">
        <f t="shared" si="9"/>
        <v>14.259999999999996</v>
      </c>
      <c r="C28" s="4">
        <f t="shared" si="0"/>
        <v>24.89</v>
      </c>
      <c r="D28" s="3">
        <f t="shared" si="10"/>
        <v>20.060000000000002</v>
      </c>
      <c r="E28" s="3">
        <f>IF(C28-A28&lt;0,0,C28-A28)</f>
        <v>20.9</v>
      </c>
      <c r="F28" s="3">
        <f t="shared" si="3"/>
        <v>7.98</v>
      </c>
      <c r="G28" s="3">
        <f t="shared" si="4"/>
        <v>42.126666666666658</v>
      </c>
      <c r="H28" s="3">
        <f t="shared" si="5"/>
        <v>24.9</v>
      </c>
      <c r="I28" s="3">
        <f t="shared" si="6"/>
        <v>22.066666666666656</v>
      </c>
      <c r="J28" s="3">
        <f t="shared" si="7"/>
        <v>4.8399999999999963</v>
      </c>
      <c r="K28" s="5">
        <f t="shared" si="1"/>
        <v>12.530777333333328</v>
      </c>
      <c r="L28" s="5">
        <f t="shared" si="8"/>
        <v>0</v>
      </c>
    </row>
    <row r="29" spans="1:12" x14ac:dyDescent="0.25">
      <c r="A29" s="3">
        <f t="shared" si="9"/>
        <v>3.99</v>
      </c>
      <c r="B29" s="3">
        <f t="shared" si="9"/>
        <v>14.259999999999996</v>
      </c>
      <c r="C29" s="4">
        <f t="shared" si="0"/>
        <v>25.89</v>
      </c>
      <c r="D29" s="3">
        <f t="shared" si="10"/>
        <v>20.060000000000002</v>
      </c>
      <c r="E29" s="3">
        <f t="shared" si="2"/>
        <v>21.9</v>
      </c>
      <c r="F29" s="3">
        <f t="shared" si="3"/>
        <v>7.98</v>
      </c>
      <c r="G29" s="3">
        <f t="shared" si="4"/>
        <v>43.459999999999994</v>
      </c>
      <c r="H29" s="3">
        <f t="shared" si="5"/>
        <v>24.9</v>
      </c>
      <c r="I29" s="3">
        <f t="shared" si="6"/>
        <v>23.399999999999991</v>
      </c>
      <c r="J29" s="3">
        <f t="shared" si="7"/>
        <v>4.8399999999999963</v>
      </c>
      <c r="K29" s="5">
        <f t="shared" si="1"/>
        <v>13.287923999999997</v>
      </c>
      <c r="L29" s="5">
        <f t="shared" si="8"/>
        <v>0</v>
      </c>
    </row>
    <row r="30" spans="1:12" x14ac:dyDescent="0.25">
      <c r="A30" s="3">
        <f t="shared" si="9"/>
        <v>3.99</v>
      </c>
      <c r="B30" s="3">
        <f t="shared" si="9"/>
        <v>14.259999999999996</v>
      </c>
      <c r="C30" s="4">
        <f t="shared" si="0"/>
        <v>26.89</v>
      </c>
      <c r="D30" s="3">
        <f t="shared" si="10"/>
        <v>20.060000000000002</v>
      </c>
      <c r="E30" s="3">
        <f t="shared" si="2"/>
        <v>22.9</v>
      </c>
      <c r="F30" s="3">
        <f t="shared" si="3"/>
        <v>7.98</v>
      </c>
      <c r="G30" s="3">
        <f t="shared" si="4"/>
        <v>44.793333333333329</v>
      </c>
      <c r="H30" s="3">
        <f t="shared" si="5"/>
        <v>24.9</v>
      </c>
      <c r="I30" s="3">
        <f t="shared" si="6"/>
        <v>24.733333333333327</v>
      </c>
      <c r="J30" s="3">
        <f t="shared" si="7"/>
        <v>4.8399999999999963</v>
      </c>
      <c r="K30" s="5">
        <f t="shared" si="1"/>
        <v>14.045070666666664</v>
      </c>
      <c r="L30" s="5">
        <f t="shared" si="8"/>
        <v>0</v>
      </c>
    </row>
    <row r="31" spans="1:12" x14ac:dyDescent="0.25">
      <c r="A31" s="3">
        <f t="shared" si="9"/>
        <v>3.99</v>
      </c>
      <c r="B31" s="3">
        <f t="shared" si="9"/>
        <v>14.259999999999996</v>
      </c>
      <c r="C31" s="4">
        <f t="shared" si="0"/>
        <v>27.89</v>
      </c>
      <c r="D31" s="3">
        <f t="shared" si="10"/>
        <v>20.060000000000002</v>
      </c>
      <c r="E31" s="3">
        <f t="shared" si="2"/>
        <v>23.9</v>
      </c>
      <c r="F31" s="3">
        <f t="shared" si="3"/>
        <v>7.98</v>
      </c>
      <c r="G31" s="3">
        <f t="shared" si="4"/>
        <v>46.126666666666658</v>
      </c>
      <c r="H31" s="3">
        <f t="shared" si="5"/>
        <v>24.9</v>
      </c>
      <c r="I31" s="3">
        <f t="shared" si="6"/>
        <v>26.066666666666656</v>
      </c>
      <c r="J31" s="3">
        <f t="shared" si="7"/>
        <v>4.8399999999999963</v>
      </c>
      <c r="K31" s="5">
        <f t="shared" si="1"/>
        <v>14.802217333333328</v>
      </c>
      <c r="L31" s="5">
        <f t="shared" si="8"/>
        <v>0</v>
      </c>
    </row>
    <row r="32" spans="1:12" x14ac:dyDescent="0.25">
      <c r="A32" s="3">
        <f t="shared" si="9"/>
        <v>3.99</v>
      </c>
      <c r="B32" s="3">
        <f t="shared" si="9"/>
        <v>14.259999999999996</v>
      </c>
      <c r="C32" s="4">
        <f>C33-1</f>
        <v>28.89</v>
      </c>
      <c r="D32" s="3">
        <f t="shared" si="10"/>
        <v>20.060000000000002</v>
      </c>
      <c r="E32" s="3">
        <f t="shared" si="2"/>
        <v>24.9</v>
      </c>
      <c r="F32" s="3">
        <f t="shared" si="3"/>
        <v>7.98</v>
      </c>
      <c r="G32" s="3">
        <f t="shared" si="4"/>
        <v>47.459999999999994</v>
      </c>
      <c r="H32" s="3">
        <f t="shared" si="5"/>
        <v>24.9</v>
      </c>
      <c r="I32" s="3">
        <f t="shared" si="6"/>
        <v>27.399999999999991</v>
      </c>
      <c r="J32" s="3">
        <f t="shared" si="7"/>
        <v>4.8399999999999963</v>
      </c>
      <c r="K32" s="5">
        <f t="shared" si="1"/>
        <v>15.559363999999997</v>
      </c>
      <c r="L32" s="5">
        <f t="shared" si="8"/>
        <v>0</v>
      </c>
    </row>
    <row r="33" spans="1:24" x14ac:dyDescent="0.25">
      <c r="A33" s="6">
        <f>A32</f>
        <v>3.99</v>
      </c>
      <c r="B33" s="6">
        <f t="shared" si="9"/>
        <v>14.259999999999996</v>
      </c>
      <c r="C33" s="7">
        <f>IF(A10="",IF(A9="",A13,A9),A10)</f>
        <v>29.89</v>
      </c>
      <c r="D33" s="6">
        <f t="shared" si="10"/>
        <v>20.060000000000002</v>
      </c>
      <c r="E33" s="6">
        <f t="shared" si="2"/>
        <v>25.9</v>
      </c>
      <c r="F33" s="6">
        <f t="shared" si="3"/>
        <v>7.98</v>
      </c>
      <c r="G33" s="6">
        <f>B33+IF($A$8="AM", E33/3*4,E33*2)</f>
        <v>48.793333333333329</v>
      </c>
      <c r="H33" s="6">
        <f t="shared" si="5"/>
        <v>24.9</v>
      </c>
      <c r="I33" s="6">
        <f t="shared" si="6"/>
        <v>28.733333333333327</v>
      </c>
      <c r="J33" s="6">
        <f t="shared" si="7"/>
        <v>4.8399999999999963</v>
      </c>
      <c r="K33" s="8">
        <f>IF(I33&lt;=40,I33*$A$7,0)</f>
        <v>16.316510666666662</v>
      </c>
      <c r="L33" s="8">
        <f t="shared" si="8"/>
        <v>0</v>
      </c>
    </row>
    <row r="34" spans="1:24" x14ac:dyDescent="0.25">
      <c r="A34" s="3">
        <f t="shared" si="9"/>
        <v>3.99</v>
      </c>
      <c r="B34" s="3">
        <f t="shared" si="9"/>
        <v>14.259999999999996</v>
      </c>
      <c r="C34" s="4">
        <f>C33+1</f>
        <v>30.89</v>
      </c>
      <c r="D34" s="3">
        <f t="shared" si="10"/>
        <v>20.060000000000002</v>
      </c>
      <c r="E34" s="3">
        <f t="shared" si="2"/>
        <v>26.9</v>
      </c>
      <c r="F34" s="3">
        <f t="shared" si="3"/>
        <v>7.98</v>
      </c>
      <c r="G34" s="3">
        <f t="shared" si="4"/>
        <v>50.126666666666665</v>
      </c>
      <c r="H34" s="3">
        <f t="shared" si="5"/>
        <v>24.9</v>
      </c>
      <c r="I34" s="3">
        <f t="shared" si="6"/>
        <v>30.066666666666663</v>
      </c>
      <c r="J34" s="3">
        <f t="shared" si="7"/>
        <v>4.8399999999999963</v>
      </c>
      <c r="K34" s="5">
        <f t="shared" ref="K34:K42" si="11">IF(I34&lt;=40,I34*$A$7,0)</f>
        <v>17.073657333333333</v>
      </c>
      <c r="L34" s="5">
        <f t="shared" si="8"/>
        <v>0</v>
      </c>
    </row>
    <row r="35" spans="1:24" x14ac:dyDescent="0.25">
      <c r="A35" s="3">
        <f t="shared" si="9"/>
        <v>3.99</v>
      </c>
      <c r="B35" s="3">
        <f t="shared" si="9"/>
        <v>14.259999999999996</v>
      </c>
      <c r="C35" s="4">
        <f t="shared" ref="C35:C42" si="12">C34+1</f>
        <v>31.89</v>
      </c>
      <c r="D35" s="3">
        <f t="shared" si="10"/>
        <v>20.060000000000002</v>
      </c>
      <c r="E35" s="3">
        <f t="shared" si="2"/>
        <v>27.9</v>
      </c>
      <c r="F35" s="3">
        <f t="shared" si="3"/>
        <v>7.98</v>
      </c>
      <c r="G35" s="3">
        <f t="shared" si="4"/>
        <v>51.459999999999994</v>
      </c>
      <c r="H35" s="3">
        <f t="shared" si="5"/>
        <v>24.9</v>
      </c>
      <c r="I35" s="3">
        <f t="shared" si="6"/>
        <v>31.399999999999991</v>
      </c>
      <c r="J35" s="3">
        <f t="shared" si="7"/>
        <v>4.8399999999999963</v>
      </c>
      <c r="K35" s="5">
        <f t="shared" si="11"/>
        <v>17.830803999999997</v>
      </c>
      <c r="L35" s="5">
        <f t="shared" si="8"/>
        <v>0</v>
      </c>
    </row>
    <row r="36" spans="1:24" x14ac:dyDescent="0.25">
      <c r="A36" s="3">
        <f t="shared" si="9"/>
        <v>3.99</v>
      </c>
      <c r="B36" s="3">
        <f t="shared" si="9"/>
        <v>14.259999999999996</v>
      </c>
      <c r="C36" s="4">
        <f t="shared" si="12"/>
        <v>32.89</v>
      </c>
      <c r="D36" s="3">
        <f t="shared" si="10"/>
        <v>20.060000000000002</v>
      </c>
      <c r="E36" s="3">
        <f t="shared" si="2"/>
        <v>28.9</v>
      </c>
      <c r="F36" s="3">
        <f t="shared" si="3"/>
        <v>7.98</v>
      </c>
      <c r="G36" s="3">
        <f>B36+IF($A$8="AM", E36/3*4,E36*2)</f>
        <v>52.793333333333329</v>
      </c>
      <c r="H36" s="3">
        <f t="shared" si="5"/>
        <v>24.9</v>
      </c>
      <c r="I36" s="3">
        <f>G36-D36</f>
        <v>32.733333333333327</v>
      </c>
      <c r="J36" s="3">
        <f t="shared" si="7"/>
        <v>4.8399999999999963</v>
      </c>
      <c r="K36" s="5">
        <f t="shared" si="11"/>
        <v>18.587950666666664</v>
      </c>
      <c r="L36" s="5">
        <f t="shared" si="8"/>
        <v>0</v>
      </c>
    </row>
    <row r="37" spans="1:24" x14ac:dyDescent="0.25">
      <c r="A37" s="3">
        <f t="shared" si="9"/>
        <v>3.99</v>
      </c>
      <c r="B37" s="3">
        <f t="shared" si="9"/>
        <v>14.259999999999996</v>
      </c>
      <c r="C37" s="4">
        <f t="shared" si="12"/>
        <v>33.89</v>
      </c>
      <c r="D37" s="3">
        <f t="shared" si="10"/>
        <v>20.060000000000002</v>
      </c>
      <c r="E37" s="3">
        <f t="shared" si="2"/>
        <v>29.9</v>
      </c>
      <c r="F37" s="3">
        <f t="shared" si="3"/>
        <v>7.98</v>
      </c>
      <c r="G37" s="3">
        <f t="shared" si="4"/>
        <v>54.126666666666665</v>
      </c>
      <c r="H37" s="3">
        <f t="shared" si="5"/>
        <v>24.9</v>
      </c>
      <c r="I37" s="3">
        <f t="shared" si="6"/>
        <v>34.066666666666663</v>
      </c>
      <c r="J37" s="3">
        <f t="shared" si="7"/>
        <v>4.8399999999999963</v>
      </c>
      <c r="K37" s="5">
        <f t="shared" si="11"/>
        <v>19.345097333333332</v>
      </c>
      <c r="L37" s="5">
        <f t="shared" si="8"/>
        <v>0</v>
      </c>
    </row>
    <row r="38" spans="1:24" x14ac:dyDescent="0.25">
      <c r="A38" s="3">
        <f t="shared" si="9"/>
        <v>3.99</v>
      </c>
      <c r="B38" s="3">
        <f t="shared" si="9"/>
        <v>14.259999999999996</v>
      </c>
      <c r="C38" s="4">
        <f t="shared" si="12"/>
        <v>34.89</v>
      </c>
      <c r="D38" s="3">
        <f t="shared" si="10"/>
        <v>20.060000000000002</v>
      </c>
      <c r="E38" s="3">
        <f t="shared" si="2"/>
        <v>30.9</v>
      </c>
      <c r="F38" s="3">
        <f t="shared" si="3"/>
        <v>7.98</v>
      </c>
      <c r="G38" s="3">
        <f t="shared" si="4"/>
        <v>55.459999999999994</v>
      </c>
      <c r="H38" s="3">
        <f t="shared" si="5"/>
        <v>24.9</v>
      </c>
      <c r="I38" s="3">
        <f t="shared" si="6"/>
        <v>35.399999999999991</v>
      </c>
      <c r="J38" s="3">
        <f t="shared" si="7"/>
        <v>4.8399999999999963</v>
      </c>
      <c r="K38" s="5">
        <f t="shared" si="11"/>
        <v>20.102243999999995</v>
      </c>
      <c r="L38" s="5">
        <f t="shared" si="8"/>
        <v>0</v>
      </c>
    </row>
    <row r="39" spans="1:24" x14ac:dyDescent="0.25">
      <c r="A39" s="3">
        <f t="shared" si="9"/>
        <v>3.99</v>
      </c>
      <c r="B39" s="3">
        <f t="shared" si="9"/>
        <v>14.259999999999996</v>
      </c>
      <c r="C39" s="4">
        <f t="shared" si="12"/>
        <v>35.89</v>
      </c>
      <c r="D39" s="3">
        <f t="shared" si="10"/>
        <v>20.060000000000002</v>
      </c>
      <c r="E39" s="3">
        <f t="shared" si="2"/>
        <v>31.9</v>
      </c>
      <c r="F39" s="3">
        <f t="shared" si="3"/>
        <v>7.98</v>
      </c>
      <c r="G39" s="3">
        <f t="shared" si="4"/>
        <v>56.793333333333329</v>
      </c>
      <c r="H39" s="3">
        <f t="shared" si="5"/>
        <v>24.9</v>
      </c>
      <c r="I39" s="3">
        <f t="shared" si="6"/>
        <v>36.733333333333327</v>
      </c>
      <c r="J39" s="3">
        <f t="shared" si="7"/>
        <v>4.8399999999999963</v>
      </c>
      <c r="K39" s="5">
        <f t="shared" si="11"/>
        <v>20.859390666666663</v>
      </c>
      <c r="L39" s="5">
        <f t="shared" si="8"/>
        <v>0</v>
      </c>
    </row>
    <row r="40" spans="1:24" x14ac:dyDescent="0.25">
      <c r="A40" s="3">
        <f t="shared" si="9"/>
        <v>3.99</v>
      </c>
      <c r="B40" s="3">
        <f t="shared" si="9"/>
        <v>14.259999999999996</v>
      </c>
      <c r="C40" s="4">
        <f t="shared" si="12"/>
        <v>36.89</v>
      </c>
      <c r="D40" s="3">
        <f t="shared" si="10"/>
        <v>20.060000000000002</v>
      </c>
      <c r="E40" s="3">
        <f t="shared" si="2"/>
        <v>32.9</v>
      </c>
      <c r="F40" s="3">
        <f t="shared" si="3"/>
        <v>7.98</v>
      </c>
      <c r="G40" s="3">
        <f t="shared" si="4"/>
        <v>58.126666666666665</v>
      </c>
      <c r="H40" s="3">
        <f t="shared" si="5"/>
        <v>24.9</v>
      </c>
      <c r="I40" s="3">
        <f t="shared" si="6"/>
        <v>38.066666666666663</v>
      </c>
      <c r="J40" s="3">
        <f t="shared" si="7"/>
        <v>4.8399999999999963</v>
      </c>
      <c r="K40" s="5">
        <f t="shared" si="11"/>
        <v>21.616537333333333</v>
      </c>
      <c r="L40" s="5">
        <f t="shared" si="8"/>
        <v>0</v>
      </c>
    </row>
    <row r="41" spans="1:24" x14ac:dyDescent="0.25">
      <c r="A41" s="3">
        <f t="shared" si="9"/>
        <v>3.99</v>
      </c>
      <c r="B41" s="3">
        <f t="shared" si="9"/>
        <v>14.259999999999996</v>
      </c>
      <c r="C41" s="4">
        <f t="shared" si="12"/>
        <v>37.89</v>
      </c>
      <c r="D41" s="3">
        <f t="shared" si="10"/>
        <v>20.060000000000002</v>
      </c>
      <c r="E41" s="3">
        <f t="shared" si="2"/>
        <v>33.9</v>
      </c>
      <c r="F41" s="3">
        <f t="shared" si="3"/>
        <v>7.98</v>
      </c>
      <c r="G41" s="3">
        <f t="shared" si="4"/>
        <v>59.459999999999994</v>
      </c>
      <c r="H41" s="3">
        <f t="shared" si="5"/>
        <v>24.9</v>
      </c>
      <c r="I41" s="3">
        <f t="shared" si="6"/>
        <v>39.399999999999991</v>
      </c>
      <c r="J41" s="3">
        <f t="shared" si="7"/>
        <v>4.8399999999999963</v>
      </c>
      <c r="K41" s="5">
        <f t="shared" si="11"/>
        <v>22.373683999999997</v>
      </c>
      <c r="L41" s="5">
        <f t="shared" si="8"/>
        <v>0</v>
      </c>
    </row>
    <row r="42" spans="1:24" x14ac:dyDescent="0.25">
      <c r="A42" s="3">
        <f t="shared" si="9"/>
        <v>3.99</v>
      </c>
      <c r="B42" s="3">
        <f t="shared" si="9"/>
        <v>14.259999999999996</v>
      </c>
      <c r="C42" s="4">
        <f t="shared" si="12"/>
        <v>38.89</v>
      </c>
      <c r="D42" s="3">
        <f t="shared" si="10"/>
        <v>20.060000000000002</v>
      </c>
      <c r="E42" s="3">
        <f t="shared" si="2"/>
        <v>34.9</v>
      </c>
      <c r="F42" s="3">
        <f t="shared" si="3"/>
        <v>7.98</v>
      </c>
      <c r="G42" s="3">
        <f t="shared" si="4"/>
        <v>60.793333333333329</v>
      </c>
      <c r="H42" s="3">
        <f t="shared" si="5"/>
        <v>24.9</v>
      </c>
      <c r="I42" s="3">
        <f t="shared" si="6"/>
        <v>40.733333333333327</v>
      </c>
      <c r="J42" s="3">
        <f t="shared" si="7"/>
        <v>4.8399999999999963</v>
      </c>
      <c r="K42" s="5">
        <f t="shared" si="11"/>
        <v>0</v>
      </c>
      <c r="L42" s="5">
        <f t="shared" si="8"/>
        <v>2.7484423999999978</v>
      </c>
    </row>
    <row r="44" spans="1:24" x14ac:dyDescent="0.25">
      <c r="J44" s="9" t="s">
        <v>17</v>
      </c>
      <c r="K44" s="10">
        <f>MAX(K25:K42)</f>
        <v>22.373683999999997</v>
      </c>
      <c r="L44" s="10">
        <f>MAX(L25:L42)</f>
        <v>2.7484423999999978</v>
      </c>
    </row>
    <row r="45" spans="1:24" x14ac:dyDescent="0.25">
      <c r="A45" s="2" t="s">
        <v>258</v>
      </c>
    </row>
    <row r="46" spans="1:24" x14ac:dyDescent="0.25">
      <c r="A46" s="49" t="s">
        <v>27</v>
      </c>
      <c r="B46" s="49" t="s">
        <v>28</v>
      </c>
      <c r="C46" s="49" t="s">
        <v>29</v>
      </c>
      <c r="D46" s="49" t="s">
        <v>30</v>
      </c>
      <c r="E46" s="49" t="s">
        <v>31</v>
      </c>
      <c r="F46" s="49" t="s">
        <v>32</v>
      </c>
      <c r="G46" s="49" t="s">
        <v>33</v>
      </c>
      <c r="H46" s="49" t="s">
        <v>35</v>
      </c>
      <c r="I46" s="49" t="s">
        <v>36</v>
      </c>
      <c r="J46" s="49" t="s">
        <v>37</v>
      </c>
      <c r="K46" s="49" t="s">
        <v>38</v>
      </c>
      <c r="L46" s="49" t="s">
        <v>39</v>
      </c>
      <c r="M46" s="49" t="s">
        <v>141</v>
      </c>
      <c r="N46" s="49" t="s">
        <v>142</v>
      </c>
      <c r="O46" s="49" t="s">
        <v>143</v>
      </c>
      <c r="P46" s="49" t="s">
        <v>144</v>
      </c>
      <c r="Q46" s="49" t="s">
        <v>145</v>
      </c>
      <c r="R46" s="49" t="s">
        <v>146</v>
      </c>
      <c r="S46" s="61" t="s">
        <v>200</v>
      </c>
      <c r="T46" s="62"/>
      <c r="U46" s="63"/>
      <c r="V46" s="61" t="s">
        <v>261</v>
      </c>
      <c r="W46" s="62"/>
      <c r="X46" s="63"/>
    </row>
    <row r="47" spans="1:24" x14ac:dyDescent="0.25">
      <c r="A47" s="38"/>
      <c r="B47" s="38"/>
      <c r="C47" s="38"/>
      <c r="D47" s="38"/>
      <c r="E47" s="38"/>
      <c r="F47" s="38"/>
      <c r="G47" s="38"/>
      <c r="H47" s="38"/>
      <c r="I47" s="38"/>
      <c r="J47" s="38"/>
      <c r="K47" s="38"/>
      <c r="L47" s="38"/>
      <c r="M47" s="38"/>
      <c r="N47" s="38"/>
      <c r="O47" s="38"/>
      <c r="P47" s="38"/>
      <c r="Q47" s="38"/>
      <c r="R47" s="38"/>
      <c r="S47" s="61" t="s">
        <v>201</v>
      </c>
      <c r="T47" s="62"/>
      <c r="U47" s="63"/>
      <c r="V47" s="61" t="s">
        <v>262</v>
      </c>
      <c r="W47" s="62"/>
      <c r="X47" s="63"/>
    </row>
    <row r="48" spans="1:24" x14ac:dyDescent="0.25">
      <c r="A48" s="35">
        <v>21</v>
      </c>
      <c r="B48" s="35">
        <v>5</v>
      </c>
      <c r="C48" s="35">
        <v>10.7</v>
      </c>
      <c r="D48" s="35">
        <v>13.47</v>
      </c>
      <c r="E48" s="35">
        <v>13.3</v>
      </c>
      <c r="F48" s="35">
        <v>11.55</v>
      </c>
      <c r="G48" s="35">
        <v>12.84</v>
      </c>
      <c r="H48" s="35">
        <v>6.92</v>
      </c>
      <c r="I48" s="35">
        <v>10.33</v>
      </c>
      <c r="J48" s="40">
        <v>4.54</v>
      </c>
      <c r="K48" s="35">
        <v>5.64</v>
      </c>
      <c r="L48" s="35">
        <v>5.64</v>
      </c>
      <c r="M48" s="35">
        <v>6.1</v>
      </c>
      <c r="N48" s="35">
        <v>9.2100000000000009</v>
      </c>
      <c r="O48" s="35"/>
      <c r="P48" s="35"/>
      <c r="Q48" s="35"/>
      <c r="R48" s="35"/>
      <c r="S48" s="61" t="s">
        <v>0</v>
      </c>
      <c r="T48" s="62"/>
      <c r="U48" s="63"/>
      <c r="V48" s="61" t="s">
        <v>263</v>
      </c>
      <c r="W48" s="62"/>
      <c r="X48" s="63"/>
    </row>
    <row r="49" spans="1:24" x14ac:dyDescent="0.25">
      <c r="A49" s="36">
        <v>30</v>
      </c>
      <c r="B49" s="36">
        <v>14</v>
      </c>
      <c r="C49" s="36">
        <v>37.03</v>
      </c>
      <c r="D49" s="36">
        <v>32.21</v>
      </c>
      <c r="E49" s="36">
        <v>34.869999999999997</v>
      </c>
      <c r="F49" s="36">
        <v>39.090000000000003</v>
      </c>
      <c r="G49" s="36">
        <v>33.61</v>
      </c>
      <c r="H49" s="36">
        <v>14.87</v>
      </c>
      <c r="I49" s="36">
        <v>36.909999999999997</v>
      </c>
      <c r="J49" s="41">
        <v>13.64</v>
      </c>
      <c r="K49" s="36">
        <v>12.18</v>
      </c>
      <c r="L49" s="36">
        <v>12.18</v>
      </c>
      <c r="M49" s="36">
        <v>13.9</v>
      </c>
      <c r="N49" s="36">
        <v>34.409999999999997</v>
      </c>
      <c r="O49" s="36"/>
      <c r="P49" s="36"/>
      <c r="Q49" s="36"/>
      <c r="R49" s="36"/>
      <c r="S49" s="61" t="s">
        <v>1</v>
      </c>
      <c r="T49" s="62"/>
      <c r="U49" s="63"/>
      <c r="V49" s="61" t="s">
        <v>264</v>
      </c>
      <c r="W49" s="62"/>
      <c r="X49" s="63"/>
    </row>
    <row r="50" spans="1:24" x14ac:dyDescent="0.25">
      <c r="A50" s="57">
        <v>0.56786000000000003</v>
      </c>
      <c r="B50" s="57">
        <v>0.56786000000000003</v>
      </c>
      <c r="C50" s="57">
        <v>0.56786000000000003</v>
      </c>
      <c r="D50" s="57">
        <v>0.56786000000000003</v>
      </c>
      <c r="E50" s="57">
        <v>0.56786000000000003</v>
      </c>
      <c r="F50" s="57">
        <v>0.56786000000000003</v>
      </c>
      <c r="G50" s="57">
        <v>0.56786000000000003</v>
      </c>
      <c r="H50" s="57">
        <v>0.56786000000000003</v>
      </c>
      <c r="I50" s="57">
        <v>0.56786000000000003</v>
      </c>
      <c r="J50" s="57">
        <v>0.56786000000000003</v>
      </c>
      <c r="K50" s="57">
        <v>0.56786000000000003</v>
      </c>
      <c r="L50" s="57">
        <v>0.56786000000000003</v>
      </c>
      <c r="M50" s="57">
        <v>0.56786000000000003</v>
      </c>
      <c r="N50" s="57">
        <v>0.56786000000000003</v>
      </c>
      <c r="O50" s="42"/>
      <c r="P50" s="42"/>
      <c r="Q50" s="42"/>
      <c r="R50" s="42"/>
      <c r="S50" s="61" t="s">
        <v>3</v>
      </c>
      <c r="T50" s="62"/>
      <c r="U50" s="63"/>
      <c r="V50" s="61" t="s">
        <v>265</v>
      </c>
      <c r="W50" s="62"/>
      <c r="X50" s="63"/>
    </row>
    <row r="51" spans="1:24" x14ac:dyDescent="0.25">
      <c r="A51" s="37" t="s">
        <v>5</v>
      </c>
      <c r="B51" s="37" t="s">
        <v>24</v>
      </c>
      <c r="C51" s="37" t="s">
        <v>24</v>
      </c>
      <c r="D51" s="37" t="s">
        <v>5</v>
      </c>
      <c r="E51" s="37" t="s">
        <v>5</v>
      </c>
      <c r="F51" s="37" t="s">
        <v>24</v>
      </c>
      <c r="G51" s="37" t="s">
        <v>5</v>
      </c>
      <c r="H51" s="37" t="s">
        <v>5</v>
      </c>
      <c r="I51" s="37" t="s">
        <v>5</v>
      </c>
      <c r="J51" s="37" t="s">
        <v>24</v>
      </c>
      <c r="K51" s="37" t="s">
        <v>5</v>
      </c>
      <c r="L51" s="37" t="s">
        <v>5</v>
      </c>
      <c r="M51" s="37" t="s">
        <v>5</v>
      </c>
      <c r="N51" s="37" t="s">
        <v>24</v>
      </c>
      <c r="O51" s="37"/>
      <c r="P51" s="37"/>
      <c r="Q51" s="37"/>
      <c r="R51" s="37"/>
      <c r="S51" s="61" t="s">
        <v>6</v>
      </c>
      <c r="T51" s="62"/>
      <c r="U51" s="63"/>
      <c r="V51" s="61" t="s">
        <v>266</v>
      </c>
      <c r="W51" s="62"/>
      <c r="X51" s="63"/>
    </row>
    <row r="52" spans="1:24" x14ac:dyDescent="0.25">
      <c r="A52" s="38">
        <v>21.65</v>
      </c>
      <c r="B52" s="38">
        <v>21.65</v>
      </c>
      <c r="C52" s="38">
        <v>30.48</v>
      </c>
      <c r="D52" s="38">
        <v>21.65</v>
      </c>
      <c r="E52" s="38">
        <v>19.57</v>
      </c>
      <c r="F52" s="38">
        <v>17.059999999999999</v>
      </c>
      <c r="G52" s="38">
        <v>19.72</v>
      </c>
      <c r="H52" s="38">
        <v>21.65</v>
      </c>
      <c r="I52" s="38">
        <v>15.56</v>
      </c>
      <c r="J52" s="39">
        <v>42.66</v>
      </c>
      <c r="K52" s="38">
        <v>33.56</v>
      </c>
      <c r="L52" s="39"/>
      <c r="M52" s="39"/>
      <c r="N52" s="39">
        <v>13.4</v>
      </c>
      <c r="O52" s="39"/>
      <c r="P52" s="39"/>
      <c r="Q52" s="39"/>
      <c r="R52" s="39"/>
      <c r="S52" s="67" t="s">
        <v>47</v>
      </c>
      <c r="T52" s="68"/>
      <c r="U52" s="69"/>
      <c r="V52" s="67" t="s">
        <v>267</v>
      </c>
      <c r="W52" s="68"/>
      <c r="X52" s="69"/>
    </row>
    <row r="53" spans="1:24" x14ac:dyDescent="0.25">
      <c r="A53" s="38"/>
      <c r="B53" s="38"/>
      <c r="C53" s="38"/>
      <c r="D53" s="38"/>
      <c r="E53" s="38"/>
      <c r="F53" s="38"/>
      <c r="G53" s="38"/>
      <c r="H53" s="38"/>
      <c r="I53" s="38"/>
      <c r="J53" s="39"/>
      <c r="K53" s="38"/>
      <c r="L53" s="39">
        <v>32.44</v>
      </c>
      <c r="M53" s="39">
        <v>24.74</v>
      </c>
      <c r="N53" s="39">
        <v>21.78</v>
      </c>
      <c r="O53" s="39"/>
      <c r="P53" s="39"/>
      <c r="Q53" s="39"/>
      <c r="R53" s="39"/>
      <c r="S53" s="64" t="s">
        <v>48</v>
      </c>
      <c r="T53" s="65"/>
      <c r="U53" s="66"/>
      <c r="V53" s="64" t="s">
        <v>268</v>
      </c>
      <c r="W53" s="65"/>
      <c r="X53" s="66"/>
    </row>
    <row r="54" spans="1:24" x14ac:dyDescent="0.25">
      <c r="A54" s="38">
        <v>0</v>
      </c>
      <c r="B54" s="38">
        <v>3</v>
      </c>
      <c r="C54" s="38">
        <v>5.61</v>
      </c>
      <c r="D54" s="38">
        <v>8.36</v>
      </c>
      <c r="E54" s="38">
        <v>7.4</v>
      </c>
      <c r="F54" s="38">
        <v>6.43</v>
      </c>
      <c r="G54" s="38">
        <v>6.43</v>
      </c>
      <c r="H54" s="38">
        <v>5</v>
      </c>
      <c r="I54" s="38">
        <v>7.36</v>
      </c>
      <c r="J54" s="38">
        <v>28</v>
      </c>
      <c r="K54" s="38">
        <v>8</v>
      </c>
      <c r="L54" s="38"/>
      <c r="M54" s="38"/>
      <c r="N54" s="36">
        <v>5.31</v>
      </c>
      <c r="O54" s="38"/>
      <c r="P54" s="38"/>
      <c r="Q54" s="38"/>
      <c r="R54" s="38"/>
      <c r="S54" s="67" t="s">
        <v>45</v>
      </c>
      <c r="T54" s="68"/>
      <c r="U54" s="69"/>
      <c r="V54" s="67" t="s">
        <v>269</v>
      </c>
      <c r="W54" s="68"/>
      <c r="X54" s="69"/>
    </row>
    <row r="55" spans="1:24" x14ac:dyDescent="0.25">
      <c r="A55" s="38"/>
      <c r="B55" s="38"/>
      <c r="C55" s="38"/>
      <c r="D55" s="38"/>
      <c r="E55" s="38"/>
      <c r="F55" s="38"/>
      <c r="G55" s="38"/>
      <c r="H55" s="38"/>
      <c r="I55" s="38"/>
      <c r="J55" s="38"/>
      <c r="K55" s="38"/>
      <c r="L55" s="38">
        <v>32.67</v>
      </c>
      <c r="M55" s="38">
        <v>8</v>
      </c>
      <c r="N55" s="38">
        <v>4.7300000000000004</v>
      </c>
      <c r="O55" s="38"/>
      <c r="P55" s="38"/>
      <c r="Q55" s="38"/>
      <c r="R55" s="38"/>
      <c r="S55" s="64" t="s">
        <v>46</v>
      </c>
      <c r="T55" s="65"/>
      <c r="U55" s="66"/>
      <c r="V55" s="64" t="s">
        <v>270</v>
      </c>
      <c r="W55" s="65"/>
      <c r="X55" s="66"/>
    </row>
  </sheetData>
  <sheetProtection sheet="1" objects="1" scenarios="1"/>
  <mergeCells count="42">
    <mergeCell ref="V55:X55"/>
    <mergeCell ref="Q4:S4"/>
    <mergeCell ref="Q5:S5"/>
    <mergeCell ref="Q6:S6"/>
    <mergeCell ref="Q7:S7"/>
    <mergeCell ref="Q8:S8"/>
    <mergeCell ref="Q9:S9"/>
    <mergeCell ref="Q10:S10"/>
    <mergeCell ref="Q11:S11"/>
    <mergeCell ref="Q12:S12"/>
    <mergeCell ref="Q13:S13"/>
    <mergeCell ref="V50:X50"/>
    <mergeCell ref="V51:X51"/>
    <mergeCell ref="V52:X52"/>
    <mergeCell ref="V53:X53"/>
    <mergeCell ref="V54:X54"/>
    <mergeCell ref="B4:D4"/>
    <mergeCell ref="V46:X46"/>
    <mergeCell ref="V47:X47"/>
    <mergeCell ref="V48:X48"/>
    <mergeCell ref="V49:X49"/>
    <mergeCell ref="D16:E16"/>
    <mergeCell ref="D17:E17"/>
    <mergeCell ref="B10:D10"/>
    <mergeCell ref="B12:D12"/>
    <mergeCell ref="B9:D9"/>
    <mergeCell ref="B13:D13"/>
    <mergeCell ref="B5:D5"/>
    <mergeCell ref="B6:D6"/>
    <mergeCell ref="B7:D7"/>
    <mergeCell ref="B8:D8"/>
    <mergeCell ref="B11:D11"/>
    <mergeCell ref="S46:U46"/>
    <mergeCell ref="S47:U47"/>
    <mergeCell ref="S55:U55"/>
    <mergeCell ref="S52:U52"/>
    <mergeCell ref="S53:U53"/>
    <mergeCell ref="S48:U48"/>
    <mergeCell ref="S49:U49"/>
    <mergeCell ref="S50:U50"/>
    <mergeCell ref="S51:U51"/>
    <mergeCell ref="S54:U54"/>
  </mergeCells>
  <dataValidations count="1">
    <dataValidation type="list" allowBlank="1" showInputMessage="1" showErrorMessage="1" sqref="K51:M51 A8 A51:I51">
      <formula1>"AM,PM"</formula1>
    </dataValidation>
  </dataValidations>
  <pageMargins left="0.25" right="0.25" top="0.75" bottom="0.75" header="0.3" footer="0.3"/>
  <pageSetup scale="76"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30"/>
  <sheetViews>
    <sheetView workbookViewId="0"/>
  </sheetViews>
  <sheetFormatPr defaultRowHeight="15" x14ac:dyDescent="0.25"/>
  <cols>
    <col min="1" max="1" width="85.7109375" customWidth="1"/>
  </cols>
  <sheetData>
    <row r="1" spans="1:2" ht="15.75" x14ac:dyDescent="0.25">
      <c r="A1" s="32" t="s">
        <v>124</v>
      </c>
    </row>
    <row r="2" spans="1:2" ht="15.75" x14ac:dyDescent="0.25">
      <c r="A2" s="54" t="s">
        <v>232</v>
      </c>
      <c r="B2" t="s">
        <v>231</v>
      </c>
    </row>
    <row r="3" spans="1:2" ht="15.75" x14ac:dyDescent="0.25">
      <c r="A3" s="54" t="s">
        <v>233</v>
      </c>
      <c r="B3" t="s">
        <v>234</v>
      </c>
    </row>
    <row r="4" spans="1:2" ht="15.75" x14ac:dyDescent="0.25">
      <c r="A4" s="32"/>
    </row>
    <row r="5" spans="1:2" x14ac:dyDescent="0.25">
      <c r="A5" s="26"/>
    </row>
    <row r="6" spans="1:2" ht="45" x14ac:dyDescent="0.25">
      <c r="A6" s="26" t="s">
        <v>62</v>
      </c>
    </row>
    <row r="7" spans="1:2" ht="30" x14ac:dyDescent="0.25">
      <c r="A7" s="26" t="s">
        <v>63</v>
      </c>
    </row>
    <row r="8" spans="1:2" ht="45" x14ac:dyDescent="0.25">
      <c r="A8" s="26" t="s">
        <v>64</v>
      </c>
    </row>
    <row r="9" spans="1:2" ht="75" x14ac:dyDescent="0.25">
      <c r="A9" s="26" t="s">
        <v>65</v>
      </c>
    </row>
    <row r="10" spans="1:2" ht="45" x14ac:dyDescent="0.25">
      <c r="A10" s="26" t="s">
        <v>75</v>
      </c>
    </row>
    <row r="11" spans="1:2" x14ac:dyDescent="0.25">
      <c r="A11" s="26"/>
    </row>
    <row r="12" spans="1:2" x14ac:dyDescent="0.25">
      <c r="A12" s="26"/>
    </row>
    <row r="13" spans="1:2" ht="30" x14ac:dyDescent="0.25">
      <c r="A13" s="26" t="s">
        <v>66</v>
      </c>
    </row>
    <row r="14" spans="1:2" x14ac:dyDescent="0.25">
      <c r="A14" s="26"/>
    </row>
    <row r="15" spans="1:2" ht="30" x14ac:dyDescent="0.25">
      <c r="A15" s="26" t="s">
        <v>67</v>
      </c>
    </row>
    <row r="16" spans="1:2" x14ac:dyDescent="0.25">
      <c r="A16" s="26"/>
    </row>
    <row r="17" spans="1:1" ht="45" x14ac:dyDescent="0.25">
      <c r="A17" s="26" t="s">
        <v>68</v>
      </c>
    </row>
    <row r="18" spans="1:1" x14ac:dyDescent="0.25">
      <c r="A18" s="26" t="s">
        <v>69</v>
      </c>
    </row>
    <row r="19" spans="1:1" x14ac:dyDescent="0.25">
      <c r="A19" s="26"/>
    </row>
    <row r="20" spans="1:1" ht="30" x14ac:dyDescent="0.25">
      <c r="A20" s="26" t="s">
        <v>70</v>
      </c>
    </row>
    <row r="21" spans="1:1" x14ac:dyDescent="0.25">
      <c r="A21" s="26"/>
    </row>
    <row r="22" spans="1:1" ht="45" x14ac:dyDescent="0.25">
      <c r="A22" s="26" t="s">
        <v>68</v>
      </c>
    </row>
    <row r="23" spans="1:1" ht="30" x14ac:dyDescent="0.25">
      <c r="A23" s="26" t="s">
        <v>71</v>
      </c>
    </row>
    <row r="24" spans="1:1" x14ac:dyDescent="0.25">
      <c r="A24" s="26"/>
    </row>
    <row r="25" spans="1:1" ht="60" x14ac:dyDescent="0.25">
      <c r="A25" s="26" t="s">
        <v>72</v>
      </c>
    </row>
    <row r="26" spans="1:1" x14ac:dyDescent="0.25">
      <c r="A26" s="26" t="s">
        <v>69</v>
      </c>
    </row>
    <row r="27" spans="1:1" x14ac:dyDescent="0.25">
      <c r="A27" s="26"/>
    </row>
    <row r="28" spans="1:1" ht="60" x14ac:dyDescent="0.25">
      <c r="A28" s="26" t="s">
        <v>73</v>
      </c>
    </row>
    <row r="29" spans="1:1" x14ac:dyDescent="0.25">
      <c r="A29" s="26"/>
    </row>
    <row r="30" spans="1:1" x14ac:dyDescent="0.25">
      <c r="A30" s="26" t="s">
        <v>74</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66"/>
  <sheetViews>
    <sheetView workbookViewId="0">
      <selection activeCell="A4" sqref="A4"/>
    </sheetView>
  </sheetViews>
  <sheetFormatPr defaultRowHeight="15" x14ac:dyDescent="0.25"/>
  <sheetData>
    <row r="1" spans="1:1" x14ac:dyDescent="0.25">
      <c r="A1" s="28" t="s">
        <v>76</v>
      </c>
    </row>
    <row r="2" spans="1:1" x14ac:dyDescent="0.25">
      <c r="A2" s="28" t="s">
        <v>77</v>
      </c>
    </row>
    <row r="3" spans="1:1" x14ac:dyDescent="0.25">
      <c r="A3" s="28" t="s">
        <v>78</v>
      </c>
    </row>
    <row r="4" spans="1:1" x14ac:dyDescent="0.25">
      <c r="A4" s="28" t="s">
        <v>79</v>
      </c>
    </row>
    <row r="5" spans="1:1" x14ac:dyDescent="0.25">
      <c r="A5" s="28" t="s">
        <v>80</v>
      </c>
    </row>
    <row r="6" spans="1:1" x14ac:dyDescent="0.25">
      <c r="A6" s="28" t="s">
        <v>99</v>
      </c>
    </row>
    <row r="7" spans="1:1" x14ac:dyDescent="0.25">
      <c r="A7" s="28" t="s">
        <v>100</v>
      </c>
    </row>
    <row r="8" spans="1:1" x14ac:dyDescent="0.25">
      <c r="A8" s="28" t="s">
        <v>101</v>
      </c>
    </row>
    <row r="9" spans="1:1" x14ac:dyDescent="0.25">
      <c r="A9" s="28" t="s">
        <v>81</v>
      </c>
    </row>
    <row r="10" spans="1:1" x14ac:dyDescent="0.25">
      <c r="A10" s="28" t="s">
        <v>82</v>
      </c>
    </row>
    <row r="11" spans="1:1" x14ac:dyDescent="0.25">
      <c r="A11" s="28" t="s">
        <v>83</v>
      </c>
    </row>
    <row r="12" spans="1:1" x14ac:dyDescent="0.25">
      <c r="A12" s="28" t="s">
        <v>102</v>
      </c>
    </row>
    <row r="13" spans="1:1" x14ac:dyDescent="0.25">
      <c r="A13" s="28" t="s">
        <v>103</v>
      </c>
    </row>
    <row r="14" spans="1:1" x14ac:dyDescent="0.25">
      <c r="A14" s="28" t="s">
        <v>84</v>
      </c>
    </row>
    <row r="15" spans="1:1" x14ac:dyDescent="0.25">
      <c r="A15" s="28" t="s">
        <v>82</v>
      </c>
    </row>
    <row r="16" spans="1:1" x14ac:dyDescent="0.25">
      <c r="A16" s="28" t="s">
        <v>104</v>
      </c>
    </row>
    <row r="17" spans="1:1" x14ac:dyDescent="0.25">
      <c r="A17" s="28" t="s">
        <v>86</v>
      </c>
    </row>
    <row r="18" spans="1:1" x14ac:dyDescent="0.25">
      <c r="A18" s="28" t="s">
        <v>87</v>
      </c>
    </row>
    <row r="19" spans="1:1" x14ac:dyDescent="0.25">
      <c r="A19" s="28" t="s">
        <v>88</v>
      </c>
    </row>
    <row r="20" spans="1:1" x14ac:dyDescent="0.25">
      <c r="A20" s="28" t="s">
        <v>89</v>
      </c>
    </row>
    <row r="21" spans="1:1" x14ac:dyDescent="0.25">
      <c r="A21" s="28" t="s">
        <v>105</v>
      </c>
    </row>
    <row r="22" spans="1:1" x14ac:dyDescent="0.25">
      <c r="A22" s="28" t="s">
        <v>91</v>
      </c>
    </row>
    <row r="23" spans="1:1" x14ac:dyDescent="0.25">
      <c r="A23" s="28" t="s">
        <v>85</v>
      </c>
    </row>
    <row r="24" spans="1:1" x14ac:dyDescent="0.25">
      <c r="A24" s="28" t="s">
        <v>106</v>
      </c>
    </row>
    <row r="25" spans="1:1" x14ac:dyDescent="0.25">
      <c r="A25" s="28" t="s">
        <v>107</v>
      </c>
    </row>
    <row r="26" spans="1:1" x14ac:dyDescent="0.25">
      <c r="A26" s="28" t="s">
        <v>108</v>
      </c>
    </row>
    <row r="27" spans="1:1" x14ac:dyDescent="0.25">
      <c r="A27" s="28" t="s">
        <v>90</v>
      </c>
    </row>
    <row r="28" spans="1:1" x14ac:dyDescent="0.25">
      <c r="A28" s="28" t="s">
        <v>91</v>
      </c>
    </row>
    <row r="29" spans="1:1" x14ac:dyDescent="0.25">
      <c r="A29" s="28" t="s">
        <v>85</v>
      </c>
    </row>
    <row r="30" spans="1:1" x14ac:dyDescent="0.25">
      <c r="A30" s="28" t="s">
        <v>109</v>
      </c>
    </row>
    <row r="31" spans="1:1" x14ac:dyDescent="0.25">
      <c r="A31" s="28" t="s">
        <v>110</v>
      </c>
    </row>
    <row r="32" spans="1:1" x14ac:dyDescent="0.25">
      <c r="A32" s="28" t="s">
        <v>90</v>
      </c>
    </row>
    <row r="33" spans="1:1" x14ac:dyDescent="0.25">
      <c r="A33" s="28" t="s">
        <v>91</v>
      </c>
    </row>
    <row r="34" spans="1:1" x14ac:dyDescent="0.25">
      <c r="A34" s="28" t="s">
        <v>85</v>
      </c>
    </row>
    <row r="35" spans="1:1" x14ac:dyDescent="0.25">
      <c r="A35" s="28" t="s">
        <v>111</v>
      </c>
    </row>
    <row r="36" spans="1:1" x14ac:dyDescent="0.25">
      <c r="A36" s="28" t="s">
        <v>112</v>
      </c>
    </row>
    <row r="37" spans="1:1" x14ac:dyDescent="0.25">
      <c r="A37" s="28" t="s">
        <v>90</v>
      </c>
    </row>
    <row r="38" spans="1:1" x14ac:dyDescent="0.25">
      <c r="A38" s="28" t="s">
        <v>91</v>
      </c>
    </row>
    <row r="39" spans="1:1" x14ac:dyDescent="0.25">
      <c r="A39" s="28" t="s">
        <v>92</v>
      </c>
    </row>
    <row r="40" spans="1:1" x14ac:dyDescent="0.25">
      <c r="A40" s="28" t="s">
        <v>93</v>
      </c>
    </row>
    <row r="41" spans="1:1" x14ac:dyDescent="0.25">
      <c r="A41" s="28" t="s">
        <v>113</v>
      </c>
    </row>
    <row r="42" spans="1:1" x14ac:dyDescent="0.25">
      <c r="A42" s="28" t="s">
        <v>94</v>
      </c>
    </row>
    <row r="43" spans="1:1" x14ac:dyDescent="0.25">
      <c r="A43" s="28" t="s">
        <v>95</v>
      </c>
    </row>
    <row r="44" spans="1:1" x14ac:dyDescent="0.25">
      <c r="A44" s="28" t="s">
        <v>85</v>
      </c>
    </row>
    <row r="45" spans="1:1" x14ac:dyDescent="0.25">
      <c r="A45" s="28" t="s">
        <v>114</v>
      </c>
    </row>
    <row r="46" spans="1:1" x14ac:dyDescent="0.25">
      <c r="A46" s="28" t="s">
        <v>115</v>
      </c>
    </row>
    <row r="47" spans="1:1" x14ac:dyDescent="0.25">
      <c r="A47" s="28" t="s">
        <v>116</v>
      </c>
    </row>
    <row r="48" spans="1:1" x14ac:dyDescent="0.25">
      <c r="A48" s="28" t="s">
        <v>117</v>
      </c>
    </row>
    <row r="49" spans="1:1" x14ac:dyDescent="0.25">
      <c r="A49" s="28" t="s">
        <v>90</v>
      </c>
    </row>
    <row r="50" spans="1:1" x14ac:dyDescent="0.25">
      <c r="A50" s="28" t="s">
        <v>91</v>
      </c>
    </row>
    <row r="51" spans="1:1" x14ac:dyDescent="0.25">
      <c r="A51" s="28" t="s">
        <v>85</v>
      </c>
    </row>
    <row r="52" spans="1:1" x14ac:dyDescent="0.25">
      <c r="A52" s="28" t="s">
        <v>118</v>
      </c>
    </row>
    <row r="53" spans="1:1" x14ac:dyDescent="0.25">
      <c r="A53" s="28" t="s">
        <v>119</v>
      </c>
    </row>
    <row r="54" spans="1:1" x14ac:dyDescent="0.25">
      <c r="A54" s="28" t="s">
        <v>90</v>
      </c>
    </row>
    <row r="55" spans="1:1" x14ac:dyDescent="0.25">
      <c r="A55" s="28" t="s">
        <v>91</v>
      </c>
    </row>
    <row r="56" spans="1:1" x14ac:dyDescent="0.25">
      <c r="A56" s="28" t="s">
        <v>85</v>
      </c>
    </row>
    <row r="57" spans="1:1" x14ac:dyDescent="0.25">
      <c r="A57" s="28" t="s">
        <v>120</v>
      </c>
    </row>
    <row r="58" spans="1:1" x14ac:dyDescent="0.25">
      <c r="A58" s="28" t="s">
        <v>121</v>
      </c>
    </row>
    <row r="59" spans="1:1" x14ac:dyDescent="0.25">
      <c r="A59" s="28" t="s">
        <v>90</v>
      </c>
    </row>
    <row r="60" spans="1:1" x14ac:dyDescent="0.25">
      <c r="A60" s="28" t="s">
        <v>91</v>
      </c>
    </row>
    <row r="61" spans="1:1" x14ac:dyDescent="0.25">
      <c r="A61" s="28" t="s">
        <v>92</v>
      </c>
    </row>
    <row r="62" spans="1:1" x14ac:dyDescent="0.25">
      <c r="A62" s="28" t="s">
        <v>96</v>
      </c>
    </row>
    <row r="63" spans="1:1" x14ac:dyDescent="0.25">
      <c r="A63" s="28" t="s">
        <v>97</v>
      </c>
    </row>
    <row r="64" spans="1:1" x14ac:dyDescent="0.25">
      <c r="A64" s="28" t="s">
        <v>98</v>
      </c>
    </row>
    <row r="65" spans="1:1" x14ac:dyDescent="0.25">
      <c r="A65" s="27"/>
    </row>
    <row r="66" spans="1:1" x14ac:dyDescent="0.25">
      <c r="A66" s="27"/>
    </row>
  </sheetData>
  <sheetProtection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33"/>
  <sheetViews>
    <sheetView workbookViewId="0"/>
  </sheetViews>
  <sheetFormatPr defaultRowHeight="15" x14ac:dyDescent="0.25"/>
  <sheetData>
    <row r="1" spans="1:1" x14ac:dyDescent="0.25">
      <c r="A1" t="s">
        <v>158</v>
      </c>
    </row>
    <row r="2" spans="1:1" x14ac:dyDescent="0.25">
      <c r="A2" t="s">
        <v>159</v>
      </c>
    </row>
    <row r="3" spans="1:1" x14ac:dyDescent="0.25">
      <c r="A3" t="s">
        <v>160</v>
      </c>
    </row>
    <row r="4" spans="1:1" x14ac:dyDescent="0.25">
      <c r="A4" t="s">
        <v>161</v>
      </c>
    </row>
    <row r="5" spans="1:1" x14ac:dyDescent="0.25">
      <c r="A5" t="s">
        <v>162</v>
      </c>
    </row>
    <row r="6" spans="1:1" x14ac:dyDescent="0.25">
      <c r="A6" t="s">
        <v>163</v>
      </c>
    </row>
    <row r="7" spans="1:1" x14ac:dyDescent="0.25">
      <c r="A7" t="s">
        <v>164</v>
      </c>
    </row>
    <row r="8" spans="1:1" x14ac:dyDescent="0.25">
      <c r="A8" t="s">
        <v>165</v>
      </c>
    </row>
    <row r="9" spans="1:1" x14ac:dyDescent="0.25">
      <c r="A9" t="s">
        <v>166</v>
      </c>
    </row>
    <row r="10" spans="1:1" x14ac:dyDescent="0.25">
      <c r="A10" t="s">
        <v>167</v>
      </c>
    </row>
    <row r="11" spans="1:1" x14ac:dyDescent="0.25">
      <c r="A11" t="s">
        <v>168</v>
      </c>
    </row>
    <row r="12" spans="1:1" x14ac:dyDescent="0.25">
      <c r="A12" t="s">
        <v>169</v>
      </c>
    </row>
    <row r="13" spans="1:1" x14ac:dyDescent="0.25">
      <c r="A13" t="s">
        <v>170</v>
      </c>
    </row>
    <row r="14" spans="1:1" x14ac:dyDescent="0.25">
      <c r="A14" t="s">
        <v>171</v>
      </c>
    </row>
    <row r="15" spans="1:1" x14ac:dyDescent="0.25">
      <c r="A15" t="s">
        <v>172</v>
      </c>
    </row>
    <row r="16" spans="1:1" x14ac:dyDescent="0.25">
      <c r="A16" t="s">
        <v>173</v>
      </c>
    </row>
    <row r="17" spans="1:1" x14ac:dyDescent="0.25">
      <c r="A17" t="s">
        <v>174</v>
      </c>
    </row>
    <row r="18" spans="1:1" x14ac:dyDescent="0.25">
      <c r="A18" t="s">
        <v>175</v>
      </c>
    </row>
    <row r="19" spans="1:1" x14ac:dyDescent="0.25">
      <c r="A19" t="s">
        <v>176</v>
      </c>
    </row>
    <row r="20" spans="1:1" x14ac:dyDescent="0.25">
      <c r="A20" t="s">
        <v>177</v>
      </c>
    </row>
    <row r="21" spans="1:1" x14ac:dyDescent="0.25">
      <c r="A21" t="s">
        <v>178</v>
      </c>
    </row>
    <row r="22" spans="1:1" x14ac:dyDescent="0.25">
      <c r="A22" t="s">
        <v>179</v>
      </c>
    </row>
    <row r="23" spans="1:1" x14ac:dyDescent="0.25">
      <c r="A23" t="s">
        <v>180</v>
      </c>
    </row>
    <row r="24" spans="1:1" x14ac:dyDescent="0.25">
      <c r="A24" t="s">
        <v>181</v>
      </c>
    </row>
    <row r="25" spans="1:1" x14ac:dyDescent="0.25">
      <c r="A25" t="s">
        <v>182</v>
      </c>
    </row>
    <row r="26" spans="1:1" x14ac:dyDescent="0.25">
      <c r="A26" t="s">
        <v>183</v>
      </c>
    </row>
    <row r="27" spans="1:1" x14ac:dyDescent="0.25">
      <c r="A27" t="s">
        <v>184</v>
      </c>
    </row>
    <row r="28" spans="1:1" x14ac:dyDescent="0.25">
      <c r="A28" t="s">
        <v>185</v>
      </c>
    </row>
    <row r="29" spans="1:1" x14ac:dyDescent="0.25">
      <c r="A29" t="s">
        <v>186</v>
      </c>
    </row>
    <row r="30" spans="1:1" x14ac:dyDescent="0.25">
      <c r="A30" t="s">
        <v>187</v>
      </c>
    </row>
    <row r="31" spans="1:1" x14ac:dyDescent="0.25">
      <c r="A31" t="s">
        <v>188</v>
      </c>
    </row>
    <row r="32" spans="1:1" x14ac:dyDescent="0.25">
      <c r="A32" t="s">
        <v>189</v>
      </c>
    </row>
    <row r="33" spans="1:1" x14ac:dyDescent="0.25">
      <c r="A33" t="s">
        <v>199</v>
      </c>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6"/>
  <sheetViews>
    <sheetView workbookViewId="0"/>
  </sheetViews>
  <sheetFormatPr defaultRowHeight="15" x14ac:dyDescent="0.25"/>
  <sheetData>
    <row r="1" spans="1:1" x14ac:dyDescent="0.25">
      <c r="A1" t="s">
        <v>241</v>
      </c>
    </row>
    <row r="2" spans="1:1" x14ac:dyDescent="0.25">
      <c r="A2" t="s">
        <v>242</v>
      </c>
    </row>
    <row r="3" spans="1:1" x14ac:dyDescent="0.25">
      <c r="A3" t="s">
        <v>243</v>
      </c>
    </row>
    <row r="4" spans="1:1" x14ac:dyDescent="0.25">
      <c r="A4" t="s">
        <v>244</v>
      </c>
    </row>
    <row r="5" spans="1:1" x14ac:dyDescent="0.25">
      <c r="A5" t="s">
        <v>245</v>
      </c>
    </row>
    <row r="6" spans="1:1" x14ac:dyDescent="0.25">
      <c r="A6" t="s">
        <v>244</v>
      </c>
    </row>
    <row r="7" spans="1:1" x14ac:dyDescent="0.25">
      <c r="A7" t="s">
        <v>246</v>
      </c>
    </row>
    <row r="8" spans="1:1" x14ac:dyDescent="0.25">
      <c r="A8" t="s">
        <v>247</v>
      </c>
    </row>
    <row r="9" spans="1:1" x14ac:dyDescent="0.25">
      <c r="A9" t="s">
        <v>248</v>
      </c>
    </row>
    <row r="10" spans="1:1" x14ac:dyDescent="0.25">
      <c r="A10" t="s">
        <v>244</v>
      </c>
    </row>
    <row r="11" spans="1:1" x14ac:dyDescent="0.25">
      <c r="A11" t="s">
        <v>249</v>
      </c>
    </row>
    <row r="12" spans="1:1" x14ac:dyDescent="0.25">
      <c r="A12" t="s">
        <v>250</v>
      </c>
    </row>
    <row r="13" spans="1:1" x14ac:dyDescent="0.25">
      <c r="A13" t="s">
        <v>251</v>
      </c>
    </row>
    <row r="14" spans="1:1" x14ac:dyDescent="0.25">
      <c r="A14" t="s">
        <v>244</v>
      </c>
    </row>
    <row r="15" spans="1:1" x14ac:dyDescent="0.25">
      <c r="A15" t="s">
        <v>252</v>
      </c>
    </row>
    <row r="16" spans="1:1" x14ac:dyDescent="0.25">
      <c r="A16" t="s">
        <v>241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Data</vt:lpstr>
      <vt:lpstr>Events</vt:lpstr>
      <vt:lpstr>Simulator</vt:lpstr>
      <vt:lpstr>Definitions</vt:lpstr>
      <vt:lpstr>Flowchart</vt:lpstr>
      <vt:lpstr>SQLite</vt:lpstr>
      <vt:lpstr>License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 ILLIG</dc:creator>
  <cp:lastModifiedBy>Tony ILLIG</cp:lastModifiedBy>
  <cp:lastPrinted>2026-01-29T20:06:14Z</cp:lastPrinted>
  <dcterms:created xsi:type="dcterms:W3CDTF">2026-01-07T12:53:44Z</dcterms:created>
  <dcterms:modified xsi:type="dcterms:W3CDTF">2026-02-03T15:16:28Z</dcterms:modified>
</cp:coreProperties>
</file>