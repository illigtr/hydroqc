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ony_\OneDrive\Documents\Home Automation\HQ WCO Tools\"/>
    </mc:Choice>
  </mc:AlternateContent>
  <bookViews>
    <workbookView xWindow="0" yWindow="0" windowWidth="12855" windowHeight="17430"/>
  </bookViews>
  <sheets>
    <sheet name="INSTRUCTIONS" sheetId="10" r:id="rId1"/>
    <sheet name="Config" sheetId="13" r:id="rId2"/>
    <sheet name="Data" sheetId="8" r:id="rId3"/>
    <sheet name="Events" sheetId="9" r:id="rId4"/>
    <sheet name="Simulator" sheetId="1" r:id="rId5"/>
    <sheet name="FlexD" sheetId="14" state="hidden" r:id="rId6"/>
    <sheet name="Definitions" sheetId="6" state="hidden" r:id="rId7"/>
    <sheet name="Flowchart" sheetId="7" state="hidden" r:id="rId8"/>
    <sheet name="License" sheetId="12" r:id="rId9"/>
    <sheet name="Lang-EN" sheetId="15" state="hidden" r:id="rId10"/>
    <sheet name="Lang-FR" sheetId="16" state="hidden"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0" i="1" l="1"/>
  <c r="C16" i="1" l="1"/>
  <c r="N10" i="9" l="1"/>
  <c r="O10" i="9" s="1"/>
  <c r="N6" i="9"/>
  <c r="O6" i="9" s="1"/>
  <c r="N5" i="9"/>
  <c r="O5" i="9" s="1"/>
  <c r="N2" i="9"/>
  <c r="O2" i="9" s="1"/>
  <c r="N31" i="9"/>
  <c r="N30" i="9"/>
  <c r="N29" i="9"/>
  <c r="N28" i="9"/>
  <c r="N27" i="9"/>
  <c r="N26" i="9"/>
  <c r="N25" i="9"/>
  <c r="N24" i="9"/>
  <c r="N23" i="9"/>
  <c r="N22" i="9"/>
  <c r="N21" i="9"/>
  <c r="N20" i="9"/>
  <c r="N19" i="9"/>
  <c r="N18" i="9"/>
  <c r="N13" i="9"/>
  <c r="O13" i="9" s="1"/>
  <c r="N9" i="9"/>
  <c r="O9" i="9" s="1"/>
  <c r="H32" i="9"/>
  <c r="P23" i="9" l="1"/>
  <c r="R23" i="9" s="1"/>
  <c r="U23" i="9" s="1"/>
  <c r="O23" i="9"/>
  <c r="Q23" i="9" s="1"/>
  <c r="S23" i="9" s="1"/>
  <c r="P22" i="9"/>
  <c r="R22" i="9" s="1"/>
  <c r="T22" i="9" s="1"/>
  <c r="O22" i="9"/>
  <c r="Q22" i="9" s="1"/>
  <c r="S22" i="9" s="1"/>
  <c r="P26" i="9"/>
  <c r="R26" i="9" s="1"/>
  <c r="U26" i="9" s="1"/>
  <c r="O26" i="9"/>
  <c r="Q26" i="9" s="1"/>
  <c r="S26" i="9" s="1"/>
  <c r="P30" i="9"/>
  <c r="R30" i="9" s="1"/>
  <c r="T30" i="9" s="1"/>
  <c r="O30" i="9"/>
  <c r="Q30" i="9" s="1"/>
  <c r="S30" i="9" s="1"/>
  <c r="P31" i="9"/>
  <c r="R31" i="9" s="1"/>
  <c r="U31" i="9" s="1"/>
  <c r="O31" i="9"/>
  <c r="Q31" i="9" s="1"/>
  <c r="S31" i="9" s="1"/>
  <c r="P20" i="9"/>
  <c r="R20" i="9" s="1"/>
  <c r="U20" i="9" s="1"/>
  <c r="O20" i="9"/>
  <c r="Q20" i="9" s="1"/>
  <c r="S20" i="9" s="1"/>
  <c r="P24" i="9"/>
  <c r="R24" i="9" s="1"/>
  <c r="U24" i="9" s="1"/>
  <c r="O24" i="9"/>
  <c r="Q24" i="9" s="1"/>
  <c r="S24" i="9" s="1"/>
  <c r="P28" i="9"/>
  <c r="R28" i="9" s="1"/>
  <c r="U28" i="9" s="1"/>
  <c r="O28" i="9"/>
  <c r="Q28" i="9" s="1"/>
  <c r="S28" i="9" s="1"/>
  <c r="P21" i="9"/>
  <c r="R21" i="9" s="1"/>
  <c r="U21" i="9" s="1"/>
  <c r="O21" i="9"/>
  <c r="Q21" i="9" s="1"/>
  <c r="S21" i="9" s="1"/>
  <c r="P25" i="9"/>
  <c r="R25" i="9" s="1"/>
  <c r="T25" i="9" s="1"/>
  <c r="O25" i="9"/>
  <c r="Q25" i="9" s="1"/>
  <c r="S25" i="9" s="1"/>
  <c r="P29" i="9"/>
  <c r="R29" i="9" s="1"/>
  <c r="T29" i="9" s="1"/>
  <c r="O29" i="9"/>
  <c r="Q29" i="9" s="1"/>
  <c r="S29" i="9" s="1"/>
  <c r="P27" i="9"/>
  <c r="R27" i="9" s="1"/>
  <c r="U27" i="9" s="1"/>
  <c r="O27" i="9"/>
  <c r="Q27" i="9" s="1"/>
  <c r="S27" i="9" s="1"/>
  <c r="P18" i="9"/>
  <c r="R18" i="9" s="1"/>
  <c r="O18" i="9"/>
  <c r="Q18" i="9" s="1"/>
  <c r="S18" i="9" s="1"/>
  <c r="P19" i="9"/>
  <c r="R19" i="9" s="1"/>
  <c r="O19" i="9"/>
  <c r="Q19" i="9" s="1"/>
  <c r="S19" i="9" s="1"/>
  <c r="N12" i="9"/>
  <c r="N11" i="9"/>
  <c r="Q9" i="9"/>
  <c r="S9" i="9" s="1"/>
  <c r="N8" i="9"/>
  <c r="Q6" i="9"/>
  <c r="S6" i="9" s="1"/>
  <c r="Q5" i="9"/>
  <c r="S5" i="9" s="1"/>
  <c r="N16" i="9"/>
  <c r="N15" i="9"/>
  <c r="P13" i="9"/>
  <c r="R13" i="9" s="1"/>
  <c r="Q13" i="9"/>
  <c r="S13" i="9" s="1"/>
  <c r="P10" i="9"/>
  <c r="R10" i="9" s="1"/>
  <c r="T10" i="9" s="1"/>
  <c r="Q10" i="9"/>
  <c r="S10" i="9" s="1"/>
  <c r="P9" i="9"/>
  <c r="R9" i="9" s="1"/>
  <c r="P6" i="9"/>
  <c r="R6" i="9" s="1"/>
  <c r="P5" i="9"/>
  <c r="R5" i="9" s="1"/>
  <c r="T5" i="9" s="1"/>
  <c r="N4" i="9"/>
  <c r="N3" i="9"/>
  <c r="P2" i="9"/>
  <c r="R2" i="9" s="1"/>
  <c r="N14" i="9"/>
  <c r="N17" i="9"/>
  <c r="N7" i="9"/>
  <c r="Q2" i="9"/>
  <c r="S2" i="9" s="1"/>
  <c r="A12" i="1"/>
  <c r="U22" i="9" l="1"/>
  <c r="V22" i="9" s="1"/>
  <c r="W22" i="9" s="1"/>
  <c r="T20" i="9"/>
  <c r="V20" i="9" s="1"/>
  <c r="W20" i="9" s="1"/>
  <c r="T21" i="9"/>
  <c r="V21" i="9" s="1"/>
  <c r="W21" i="9" s="1"/>
  <c r="T31" i="9"/>
  <c r="V31" i="9" s="1"/>
  <c r="W31" i="9" s="1"/>
  <c r="T23" i="9"/>
  <c r="V23" i="9" s="1"/>
  <c r="W23" i="9" s="1"/>
  <c r="U29" i="9"/>
  <c r="V29" i="9" s="1"/>
  <c r="W29" i="9" s="1"/>
  <c r="U25" i="9"/>
  <c r="V25" i="9" s="1"/>
  <c r="W25" i="9" s="1"/>
  <c r="U19" i="9"/>
  <c r="U30" i="9"/>
  <c r="V30" i="9" s="1"/>
  <c r="W30" i="9" s="1"/>
  <c r="T24" i="9"/>
  <c r="V24" i="9" s="1"/>
  <c r="W24" i="9" s="1"/>
  <c r="T28" i="9"/>
  <c r="V28" i="9" s="1"/>
  <c r="W28" i="9" s="1"/>
  <c r="T27" i="9"/>
  <c r="V27" i="9" s="1"/>
  <c r="W27" i="9" s="1"/>
  <c r="U18" i="9"/>
  <c r="T26" i="9"/>
  <c r="V26" i="9" s="1"/>
  <c r="W26" i="9" s="1"/>
  <c r="T19" i="9"/>
  <c r="T18" i="9"/>
  <c r="P16" i="9"/>
  <c r="R16" i="9" s="1"/>
  <c r="T16" i="9" s="1"/>
  <c r="O16" i="9"/>
  <c r="Q16" i="9" s="1"/>
  <c r="S16" i="9" s="1"/>
  <c r="P3" i="9"/>
  <c r="R3" i="9" s="1"/>
  <c r="T3" i="9" s="1"/>
  <c r="O3" i="9"/>
  <c r="Q3" i="9" s="1"/>
  <c r="S3" i="9" s="1"/>
  <c r="P11" i="9"/>
  <c r="R11" i="9" s="1"/>
  <c r="O11" i="9"/>
  <c r="Q11" i="9" s="1"/>
  <c r="S11" i="9" s="1"/>
  <c r="P4" i="9"/>
  <c r="R4" i="9" s="1"/>
  <c r="T4" i="9" s="1"/>
  <c r="O4" i="9"/>
  <c r="Q4" i="9" s="1"/>
  <c r="S4" i="9" s="1"/>
  <c r="P12" i="9"/>
  <c r="R12" i="9" s="1"/>
  <c r="T12" i="9" s="1"/>
  <c r="O12" i="9"/>
  <c r="Q12" i="9" s="1"/>
  <c r="S12" i="9" s="1"/>
  <c r="P7" i="9"/>
  <c r="R7" i="9" s="1"/>
  <c r="O7" i="9"/>
  <c r="Q7" i="9" s="1"/>
  <c r="S7" i="9" s="1"/>
  <c r="P17" i="9"/>
  <c r="R17" i="9" s="1"/>
  <c r="T17" i="9" s="1"/>
  <c r="O17" i="9"/>
  <c r="Q17" i="9" s="1"/>
  <c r="S17" i="9" s="1"/>
  <c r="P15" i="9"/>
  <c r="R15" i="9" s="1"/>
  <c r="T15" i="9" s="1"/>
  <c r="O15" i="9"/>
  <c r="Q15" i="9" s="1"/>
  <c r="S15" i="9" s="1"/>
  <c r="P8" i="9"/>
  <c r="R8" i="9" s="1"/>
  <c r="T8" i="9" s="1"/>
  <c r="O8" i="9"/>
  <c r="Q8" i="9" s="1"/>
  <c r="S8" i="9" s="1"/>
  <c r="P14" i="9"/>
  <c r="R14" i="9" s="1"/>
  <c r="O14" i="9"/>
  <c r="Q14" i="9" s="1"/>
  <c r="S14" i="9" s="1"/>
  <c r="U9" i="9"/>
  <c r="U6" i="9"/>
  <c r="U13" i="9"/>
  <c r="T9" i="9"/>
  <c r="T13" i="9"/>
  <c r="U10" i="9"/>
  <c r="V10" i="9" s="1"/>
  <c r="W10" i="9" s="1"/>
  <c r="T6" i="9"/>
  <c r="U5" i="9"/>
  <c r="V5" i="9" s="1"/>
  <c r="W5" i="9" s="1"/>
  <c r="T2" i="9"/>
  <c r="U2" i="9"/>
  <c r="V9" i="9" l="1"/>
  <c r="W9" i="9" s="1"/>
  <c r="V18" i="9"/>
  <c r="W18" i="9" s="1"/>
  <c r="V13" i="9"/>
  <c r="W13" i="9" s="1"/>
  <c r="V2" i="9"/>
  <c r="W2" i="9" s="1"/>
  <c r="V19" i="9"/>
  <c r="W19" i="9" s="1"/>
  <c r="U11" i="9"/>
  <c r="V6" i="9"/>
  <c r="W6" i="9" s="1"/>
  <c r="U14" i="9"/>
  <c r="T11" i="9"/>
  <c r="U7" i="9"/>
  <c r="U4" i="9"/>
  <c r="V4" i="9" s="1"/>
  <c r="W4" i="9" s="1"/>
  <c r="U8" i="9"/>
  <c r="V8" i="9" s="1"/>
  <c r="W8" i="9" s="1"/>
  <c r="T14" i="9"/>
  <c r="U16" i="9"/>
  <c r="V16" i="9" s="1"/>
  <c r="W16" i="9" s="1"/>
  <c r="U12" i="9"/>
  <c r="V12" i="9" s="1"/>
  <c r="W12" i="9" s="1"/>
  <c r="U15" i="9"/>
  <c r="V15" i="9" s="1"/>
  <c r="W15" i="9" s="1"/>
  <c r="U17" i="9"/>
  <c r="V17" i="9" s="1"/>
  <c r="W17" i="9" s="1"/>
  <c r="T7" i="9"/>
  <c r="U3" i="9"/>
  <c r="V3" i="9" s="1"/>
  <c r="W3" i="9" s="1"/>
  <c r="V7" i="9" l="1"/>
  <c r="W7" i="9" s="1"/>
  <c r="V14" i="9"/>
  <c r="W14" i="9" s="1"/>
  <c r="V11" i="9"/>
  <c r="W11" i="9" s="1"/>
  <c r="D22" i="1"/>
  <c r="W32" i="9" l="1"/>
  <c r="V32" i="9"/>
  <c r="D23" i="1"/>
  <c r="D24" i="1" s="1"/>
  <c r="D25" i="1" s="1"/>
  <c r="D26" i="1" s="1"/>
  <c r="D27" i="1" s="1"/>
  <c r="D28" i="1" s="1"/>
  <c r="D29" i="1" s="1"/>
  <c r="D30" i="1" s="1"/>
  <c r="D31" i="1" s="1"/>
  <c r="D32" i="1" s="1"/>
  <c r="D33" i="1" s="1"/>
  <c r="D34" i="1" s="1"/>
  <c r="D35" i="1" s="1"/>
  <c r="D36" i="1" s="1"/>
  <c r="D37" i="1" s="1"/>
  <c r="D38" i="1" s="1"/>
  <c r="D39" i="1" s="1"/>
  <c r="B22" i="1"/>
  <c r="B23" i="1" s="1"/>
  <c r="A22" i="1"/>
  <c r="A23" i="1" s="1"/>
  <c r="C17" i="1"/>
  <c r="C30" i="1" l="1"/>
  <c r="C31" i="1" s="1"/>
  <c r="C32" i="1" s="1"/>
  <c r="B24" i="1"/>
  <c r="A24" i="1"/>
  <c r="C29" i="1" l="1"/>
  <c r="C28" i="1" s="1"/>
  <c r="C27" i="1" s="1"/>
  <c r="A25" i="1"/>
  <c r="B25" i="1"/>
  <c r="C33" i="1"/>
  <c r="A26" i="1" l="1"/>
  <c r="C26" i="1"/>
  <c r="C34" i="1"/>
  <c r="B26" i="1"/>
  <c r="E26" i="1" l="1"/>
  <c r="C25" i="1"/>
  <c r="A27" i="1"/>
  <c r="B27" i="1"/>
  <c r="C35" i="1"/>
  <c r="G26" i="1" l="1"/>
  <c r="I26" i="1" s="1"/>
  <c r="K26" i="1" s="1"/>
  <c r="F26" i="1"/>
  <c r="H26" i="1" s="1"/>
  <c r="J26" i="1" s="1"/>
  <c r="A28" i="1"/>
  <c r="E27" i="1"/>
  <c r="C36" i="1"/>
  <c r="B28" i="1"/>
  <c r="E25" i="1"/>
  <c r="C24" i="1"/>
  <c r="G27" i="1" l="1"/>
  <c r="I27" i="1" s="1"/>
  <c r="K27" i="1" s="1"/>
  <c r="F27" i="1"/>
  <c r="H27" i="1" s="1"/>
  <c r="J27" i="1" s="1"/>
  <c r="G25" i="1"/>
  <c r="I25" i="1" s="1"/>
  <c r="K25" i="1" s="1"/>
  <c r="F25" i="1"/>
  <c r="H25" i="1" s="1"/>
  <c r="J25" i="1" s="1"/>
  <c r="L26" i="1"/>
  <c r="B29" i="1"/>
  <c r="C37" i="1"/>
  <c r="E24" i="1"/>
  <c r="C23" i="1"/>
  <c r="C22" i="1" s="1"/>
  <c r="A29" i="1"/>
  <c r="A30" i="1" s="1"/>
  <c r="E28" i="1"/>
  <c r="L25" i="1" l="1"/>
  <c r="G28" i="1"/>
  <c r="I28" i="1" s="1"/>
  <c r="K28" i="1" s="1"/>
  <c r="F28" i="1"/>
  <c r="H28" i="1" s="1"/>
  <c r="J28" i="1" s="1"/>
  <c r="L27" i="1"/>
  <c r="G24" i="1"/>
  <c r="I24" i="1" s="1"/>
  <c r="K24" i="1" s="1"/>
  <c r="F24" i="1"/>
  <c r="H24" i="1" s="1"/>
  <c r="J24" i="1" s="1"/>
  <c r="C38" i="1"/>
  <c r="B30" i="1"/>
  <c r="E29" i="1"/>
  <c r="E23" i="1"/>
  <c r="E22" i="1"/>
  <c r="L24" i="1" l="1"/>
  <c r="L28" i="1"/>
  <c r="G22" i="1"/>
  <c r="I22" i="1" s="1"/>
  <c r="K22" i="1" s="1"/>
  <c r="F22" i="1"/>
  <c r="H22" i="1" s="1"/>
  <c r="J22" i="1" s="1"/>
  <c r="G29" i="1"/>
  <c r="I29" i="1" s="1"/>
  <c r="K29" i="1" s="1"/>
  <c r="F29" i="1"/>
  <c r="H29" i="1" s="1"/>
  <c r="J29" i="1" s="1"/>
  <c r="G23" i="1"/>
  <c r="I23" i="1" s="1"/>
  <c r="K23" i="1" s="1"/>
  <c r="F23" i="1"/>
  <c r="H23" i="1" s="1"/>
  <c r="J23" i="1" s="1"/>
  <c r="A31" i="1"/>
  <c r="E30" i="1"/>
  <c r="B31" i="1"/>
  <c r="L29" i="1" l="1"/>
  <c r="L23" i="1"/>
  <c r="L22" i="1"/>
  <c r="G30" i="1"/>
  <c r="I30" i="1" s="1"/>
  <c r="K30" i="1" s="1"/>
  <c r="F30" i="1"/>
  <c r="H30" i="1" s="1"/>
  <c r="J30" i="1" s="1"/>
  <c r="B32" i="1"/>
  <c r="A32" i="1"/>
  <c r="E31" i="1"/>
  <c r="G31" i="1" l="1"/>
  <c r="I31" i="1" s="1"/>
  <c r="K31" i="1" s="1"/>
  <c r="F31" i="1"/>
  <c r="H31" i="1" s="1"/>
  <c r="J31" i="1" s="1"/>
  <c r="L30" i="1"/>
  <c r="A33" i="1"/>
  <c r="E32" i="1"/>
  <c r="B33" i="1"/>
  <c r="L31" i="1" l="1"/>
  <c r="G32" i="1"/>
  <c r="I32" i="1" s="1"/>
  <c r="K32" i="1" s="1"/>
  <c r="F32" i="1"/>
  <c r="H32" i="1" s="1"/>
  <c r="J32" i="1" s="1"/>
  <c r="B34" i="1"/>
  <c r="A34" i="1"/>
  <c r="E34" i="1" s="1"/>
  <c r="E33" i="1"/>
  <c r="L32" i="1" l="1"/>
  <c r="G33" i="1"/>
  <c r="I33" i="1" s="1"/>
  <c r="K33" i="1" s="1"/>
  <c r="F33" i="1"/>
  <c r="H33" i="1" s="1"/>
  <c r="J33" i="1" s="1"/>
  <c r="A35" i="1"/>
  <c r="B35" i="1"/>
  <c r="L33" i="1" l="1"/>
  <c r="G34" i="1"/>
  <c r="I34" i="1" s="1"/>
  <c r="K34" i="1" s="1"/>
  <c r="F34" i="1"/>
  <c r="H34" i="1" s="1"/>
  <c r="J34" i="1" s="1"/>
  <c r="B36" i="1"/>
  <c r="A36" i="1"/>
  <c r="E35" i="1"/>
  <c r="L34" i="1" l="1"/>
  <c r="G35" i="1"/>
  <c r="I35" i="1" s="1"/>
  <c r="K35" i="1" s="1"/>
  <c r="F35" i="1"/>
  <c r="H35" i="1" s="1"/>
  <c r="J35" i="1" s="1"/>
  <c r="A37" i="1"/>
  <c r="E36" i="1"/>
  <c r="B37" i="1"/>
  <c r="G36" i="1" l="1"/>
  <c r="I36" i="1" s="1"/>
  <c r="K36" i="1" s="1"/>
  <c r="F36" i="1"/>
  <c r="H36" i="1" s="1"/>
  <c r="J36" i="1" s="1"/>
  <c r="L35" i="1"/>
  <c r="B38" i="1"/>
  <c r="A38" i="1"/>
  <c r="E37" i="1"/>
  <c r="G37" i="1" l="1"/>
  <c r="I37" i="1" s="1"/>
  <c r="K37" i="1" s="1"/>
  <c r="F37" i="1"/>
  <c r="H37" i="1" s="1"/>
  <c r="J37" i="1" s="1"/>
  <c r="L36" i="1"/>
  <c r="A39" i="1"/>
  <c r="C39" i="1" s="1"/>
  <c r="E38" i="1"/>
  <c r="B39" i="1"/>
  <c r="G38" i="1" l="1"/>
  <c r="I38" i="1" s="1"/>
  <c r="K38" i="1" s="1"/>
  <c r="F38" i="1"/>
  <c r="H38" i="1" s="1"/>
  <c r="J38" i="1" s="1"/>
  <c r="L37" i="1"/>
  <c r="E39" i="1"/>
  <c r="L38" i="1" l="1"/>
  <c r="G39" i="1"/>
  <c r="I39" i="1" s="1"/>
  <c r="K39" i="1" s="1"/>
  <c r="K41" i="1" s="1"/>
  <c r="F39" i="1"/>
  <c r="H39" i="1" s="1"/>
  <c r="J39" i="1" s="1"/>
  <c r="L39" i="1" l="1"/>
  <c r="L41" i="1" s="1"/>
  <c r="D18" i="1" s="1"/>
  <c r="D16" i="1"/>
  <c r="D17" i="1" l="1"/>
  <c r="C18" i="1"/>
</calcChain>
</file>

<file path=xl/comments1.xml><?xml version="1.0" encoding="utf-8"?>
<comments xmlns="http://schemas.openxmlformats.org/spreadsheetml/2006/main">
  <authors>
    <author>Tony ILLIG</author>
  </authors>
  <commentList>
    <comment ref="J1" authorId="0" shapeId="0">
      <text>
        <r>
          <rPr>
            <sz val="9"/>
            <color indexed="81"/>
            <rFont val="Tahoma"/>
            <family val="2"/>
          </rPr>
          <t>Anchor average kWh based on the Reference Period (5 previous similar non-critical days and periods). Hourly data has MIN and MAX removed.</t>
        </r>
        <r>
          <rPr>
            <b/>
            <sz val="9"/>
            <color indexed="81"/>
            <rFont val="Tahoma"/>
            <family val="2"/>
          </rPr>
          <t xml:space="preserve">
</t>
        </r>
        <r>
          <rPr>
            <sz val="9"/>
            <color indexed="81"/>
            <rFont val="Tahoma"/>
            <family val="2"/>
          </rPr>
          <t xml:space="preserve">
</t>
        </r>
      </text>
    </comment>
    <comment ref="K1" authorId="0" shapeId="0">
      <text>
        <r>
          <rPr>
            <sz val="9"/>
            <color indexed="81"/>
            <rFont val="Tahoma"/>
            <family val="2"/>
          </rPr>
          <t xml:space="preserve">Peak average kWh based on the Reference Period (5 previous similar non-critical days and periods). Hourly data has MIN and MAX removed.
</t>
        </r>
      </text>
    </comment>
    <comment ref="L1" authorId="0" shapeId="0">
      <text>
        <r>
          <rPr>
            <sz val="9"/>
            <color indexed="81"/>
            <rFont val="Tahoma"/>
            <family val="2"/>
          </rPr>
          <t xml:space="preserve">Actual kWh consumed during the critical anchor period.
</t>
        </r>
      </text>
    </comment>
    <comment ref="M1" authorId="0" shapeId="0">
      <text>
        <r>
          <rPr>
            <sz val="9"/>
            <color indexed="81"/>
            <rFont val="Tahoma"/>
            <family val="2"/>
          </rPr>
          <t xml:space="preserve">Peak kWh consumed during the critical anchor period. This should match column F.
</t>
        </r>
      </text>
    </comment>
    <comment ref="N1" authorId="0" shapeId="0">
      <text>
        <r>
          <rPr>
            <sz val="9"/>
            <color indexed="81"/>
            <rFont val="Tahoma"/>
            <family val="2"/>
          </rPr>
          <t xml:space="preserve">Temperature Adjustment using Method 1 (used if curtailed energy is 40kWh or less). Temperature adjustment equals Anchor Actual less Anchor Average. Cannot be less than zero.
</t>
        </r>
      </text>
    </comment>
    <comment ref="O1" authorId="0" shapeId="0">
      <text>
        <r>
          <rPr>
            <sz val="9"/>
            <color indexed="81"/>
            <rFont val="Tahoma"/>
            <family val="2"/>
          </rPr>
          <t xml:space="preserve">Temperature Adjustment using Method 2 (used if curtailed energy is greater than 40kWh). Temperature adjustment from method 1 is limited to 2 times the Anchor Average, if applicable
</t>
        </r>
      </text>
    </comment>
    <comment ref="P1" authorId="0" shapeId="0">
      <text>
        <r>
          <rPr>
            <sz val="9"/>
            <color indexed="81"/>
            <rFont val="Tahoma"/>
            <family val="2"/>
          </rPr>
          <t xml:space="preserve">Reference Energy using Method 1. Reference Energy equals Anchor Actual less Anchor Average plus Temperature Adjustment using Method 1.
</t>
        </r>
      </text>
    </comment>
    <comment ref="Q1" authorId="0" shapeId="0">
      <text>
        <r>
          <rPr>
            <sz val="9"/>
            <color indexed="81"/>
            <rFont val="Tahoma"/>
            <family val="2"/>
          </rPr>
          <t xml:space="preserve">
Reference Energy using Method 2. Reference Energy equals Anchor Actual less Anchor Average plus Temperature Adjustment using Method 2.
</t>
        </r>
      </text>
    </comment>
    <comment ref="R1" authorId="0" shapeId="0">
      <text>
        <r>
          <rPr>
            <sz val="9"/>
            <color indexed="81"/>
            <rFont val="Tahoma"/>
            <family val="2"/>
          </rPr>
          <t xml:space="preserve">Energy Curtailed with Method 1. Energy Curtailed equals Reference Energy using Method 1 less Peak Actual.
</t>
        </r>
      </text>
    </comment>
    <comment ref="S1" authorId="0" shapeId="0">
      <text>
        <r>
          <rPr>
            <sz val="9"/>
            <color indexed="81"/>
            <rFont val="Tahoma"/>
            <family val="2"/>
          </rPr>
          <t xml:space="preserve">Energy Curtailed with Method 2. Energy Curtailed equals Reference Energy using Method 2 less Peak Actual.
</t>
        </r>
      </text>
    </comment>
    <comment ref="T1" authorId="0" shapeId="0">
      <text>
        <r>
          <rPr>
            <sz val="9"/>
            <color indexed="81"/>
            <rFont val="Tahoma"/>
            <family val="2"/>
          </rPr>
          <t xml:space="preserve">Credit in $ if Energy Curtailed Method 1 results in 40 kWh or less, otherwise 0$.
</t>
        </r>
      </text>
    </comment>
    <comment ref="U1" authorId="0" shapeId="0">
      <text>
        <r>
          <rPr>
            <sz val="9"/>
            <color indexed="81"/>
            <rFont val="Tahoma"/>
            <family val="2"/>
          </rPr>
          <t xml:space="preserve">Credit in $ if Energy Curtailed Method 1 results in greater than 40 kWh, otherwise 0$.
</t>
        </r>
      </text>
    </comment>
    <comment ref="V1" authorId="0" shapeId="0">
      <text>
        <r>
          <rPr>
            <sz val="9"/>
            <color indexed="81"/>
            <rFont val="Tahoma"/>
            <family val="2"/>
          </rPr>
          <t>Actual calculated credit. This should equal column H, but may not, especially for Method 2.</t>
        </r>
      </text>
    </comment>
    <comment ref="W1" authorId="0" shapeId="0">
      <text>
        <r>
          <rPr>
            <sz val="9"/>
            <color indexed="81"/>
            <rFont val="Tahoma"/>
            <family val="2"/>
          </rPr>
          <t xml:space="preserve">Difference between the true calculated credit and HQ''s published credit.
</t>
        </r>
      </text>
    </comment>
  </commentList>
</comments>
</file>

<file path=xl/sharedStrings.xml><?xml version="1.0" encoding="utf-8"?>
<sst xmlns="http://schemas.openxmlformats.org/spreadsheetml/2006/main" count="614" uniqueCount="357">
  <si>
    <t>$/kWh Curtailed</t>
  </si>
  <si>
    <t>AM or PM simulation</t>
  </si>
  <si>
    <t>Temperature Adj</t>
  </si>
  <si>
    <t>Energy Reference</t>
  </si>
  <si>
    <t>Curtailed Energy</t>
  </si>
  <si>
    <t>Hydro Credit $</t>
  </si>
  <si>
    <t>Anchor Avg</t>
  </si>
  <si>
    <t>Peak Avg</t>
  </si>
  <si>
    <t>Anchor Actual</t>
  </si>
  <si>
    <t>Peak Actual</t>
  </si>
  <si>
    <t>M1</t>
  </si>
  <si>
    <t>M2</t>
  </si>
  <si>
    <t>Maximum Credit</t>
  </si>
  <si>
    <t>Credit</t>
  </si>
  <si>
    <t>WCO 2025/2026 Simulator using Calculated Anchor and Peak Averages to Maximise Savings</t>
  </si>
  <si>
    <t>Diff</t>
  </si>
  <si>
    <t>Date</t>
  </si>
  <si>
    <t>Period</t>
  </si>
  <si>
    <t>Estimated Peak</t>
  </si>
  <si>
    <t>Actual Peak</t>
  </si>
  <si>
    <t>Estimated Anchor</t>
  </si>
  <si>
    <t>Actual Anchor</t>
  </si>
  <si>
    <t>Calculated Anchor Target</t>
  </si>
  <si>
    <t>the sum of the averages of the actual values recorded each hour during the corresponding time ranges in the reference period, excluding the minimum and maximum values for each hour;</t>
  </si>
  <si>
    <t>or</t>
  </si>
  <si>
    <t>the sum of the actual values recorded each hour during the period of 2 consecutive hours beginning 4 hours before the start of a peak demand event occurring in the evening, and</t>
  </si>
  <si>
    <t>except if the energy curtailed exceeds 40 k W h, in which case the temperature adjustment is limited to:</t>
  </si>
  <si>
    <t>2 times the sum of the averages of the actual values recorded each hour during the periods of 2 consecutive hours beginning 4 hours before the start of all the corresponding time ranges in the reference period if the peak demand event occurs in the evening, excluding the minimum and maximum values for each hour.</t>
  </si>
  <si>
    <t xml:space="preserve"> ┌──────────────────────────────────────────┐</t>
  </si>
  <si>
    <t xml:space="preserve"> │ Start: Peak Demand Event Identified      │</t>
  </si>
  <si>
    <t xml:space="preserve"> └───────────────────────────┬──────────────┘</t>
  </si>
  <si>
    <t xml:space="preserve">                             ▼</t>
  </si>
  <si>
    <t xml:space="preserve">               ┌────────────────────────────┐</t>
  </si>
  <si>
    <t xml:space="preserve">               └──────────────┬─────────────┘</t>
  </si>
  <si>
    <t xml:space="preserve">                              ▼</t>
  </si>
  <si>
    <t xml:space="preserve">           ┌────────────────────────────────────┐</t>
  </si>
  <si>
    <t xml:space="preserve">           └──────────────────┬─────────────────┘</t>
  </si>
  <si>
    <t xml:space="preserve">     ┌──────────────────────────────────────────────┐</t>
  </si>
  <si>
    <t xml:space="preserve">     │ Compute hourly averages for each peak hour    │</t>
  </si>
  <si>
    <t xml:space="preserve">     │ - Collect actual values for each hour         │</t>
  </si>
  <si>
    <t xml:space="preserve">     │ - Remove min &amp; max                            │</t>
  </si>
  <si>
    <t xml:space="preserve">     │ - Average remaining values                    │</t>
  </si>
  <si>
    <t xml:space="preserve">     └──────────────────┬───────────────────────────┘</t>
  </si>
  <si>
    <t xml:space="preserve">                        ▼</t>
  </si>
  <si>
    <t xml:space="preserve">           ┌──────────────────────────────┐</t>
  </si>
  <si>
    <t xml:space="preserve">           │ Is preliminary curtailed &gt;40 │</t>
  </si>
  <si>
    <t xml:space="preserve">                          │Yes</t>
  </si>
  <si>
    <t xml:space="preserve">                          ▼</t>
  </si>
  <si>
    <t xml:space="preserve">           │ Output final curtailed value │</t>
  </si>
  <si>
    <t xml:space="preserve">           │ (used for winter credit)     │</t>
  </si>
  <si>
    <t xml:space="preserve">           └──────────────────────────────┘</t>
  </si>
  <si>
    <t xml:space="preserve">               │ Determine event type       │</t>
  </si>
  <si>
    <t xml:space="preserve">               │ Morning (3h window) or     │</t>
  </si>
  <si>
    <t xml:space="preserve">               │ Evening (2h window)        │</t>
  </si>
  <si>
    <t xml:space="preserve">           │ Build reference period dataset     │</t>
  </si>
  <si>
    <t xml:space="preserve">           │ (5 weekdays or 5 weekend days)     │</t>
  </si>
  <si>
    <t xml:space="preserve">     ┌───────────────────────────────────────────────┐</t>
  </si>
  <si>
    <t xml:space="preserve">     └──────────────────┬────────────────────────────┘</t>
  </si>
  <si>
    <t xml:space="preserve">     │ Compute PRELIMINARY temperature adjustment   │</t>
  </si>
  <si>
    <t xml:space="preserve">     │ (based on actual pre-event window minus      │</t>
  </si>
  <si>
    <t xml:space="preserve">     │ reference-period averages for same window)   │</t>
  </si>
  <si>
    <t xml:space="preserve">     │ Compute PRELIMINARY reference energy         │</t>
  </si>
  <si>
    <t xml:space="preserve">     │ = sum(hourly averages) + preliminary TA      │</t>
  </si>
  <si>
    <t xml:space="preserve">     │ Compute PRELIMINARY energy curtailed         │</t>
  </si>
  <si>
    <t xml:space="preserve">     │ = max(0, preliminary reference - actual)     │</t>
  </si>
  <si>
    <t xml:space="preserve">           └──────────────┬───────────────┘</t>
  </si>
  <si>
    <t xml:space="preserve">     │ Compute CAPPED temperature adjustment        │</t>
  </si>
  <si>
    <t xml:space="preserve">     │ - Morning: 2 × sum(3h reference averages)    │</t>
  </si>
  <si>
    <t xml:space="preserve">     │ - Evening: 2 × sum(2h reference averages)    │</t>
  </si>
  <si>
    <t xml:space="preserve">     │ - Prorate by number of peak hours            │</t>
  </si>
  <si>
    <t xml:space="preserve">     │ Compute FINAL energy curtailed               │</t>
  </si>
  <si>
    <t xml:space="preserve">     │ = max(0, final reference - actual)           │</t>
  </si>
  <si>
    <t>Net Credit</t>
  </si>
  <si>
    <t>Definitions - April 2025 Tariffs published by Hydro Quebec</t>
  </si>
  <si>
    <t>Event No.</t>
  </si>
  <si>
    <t>Validate</t>
  </si>
  <si>
    <t>TA-M1</t>
  </si>
  <si>
    <t>TA-M2</t>
  </si>
  <si>
    <t>Ref-M1</t>
  </si>
  <si>
    <t>Ref-M2</t>
  </si>
  <si>
    <t>EC-M1</t>
  </si>
  <si>
    <t>EC-M2</t>
  </si>
  <si>
    <t>Credit-M1</t>
  </si>
  <si>
    <t>Credit-M2</t>
  </si>
  <si>
    <t>HQ Total</t>
  </si>
  <si>
    <t>Calculated Total</t>
  </si>
  <si>
    <t>Reference energy</t>
  </si>
  <si>
    <t>Actual consumption</t>
  </si>
  <si>
    <t>Energy curtailed</t>
  </si>
  <si>
    <t>Instructions</t>
  </si>
  <si>
    <t>This workbook has two purposes.</t>
  </si>
  <si>
    <t>1. It can be used to simulate the anticipated Hydro Quebec Winter Credit</t>
  </si>
  <si>
    <t>2. It can validate existing credits against your actual historical usage.</t>
  </si>
  <si>
    <t>In general, all cells are protected, except those in light blue.</t>
  </si>
  <si>
    <t>Light blue cells are for you to populate with your data.</t>
  </si>
  <si>
    <t>To use the simulator, switch to the simulator tab and enter missing values in blue</t>
  </si>
  <si>
    <t>The simulator will calculate the optimal critical anchor and optionally the optimal critical peak value, in kWh.</t>
  </si>
  <si>
    <t>1. Enter all you actual events to date in the Events tab.</t>
  </si>
  <si>
    <t>You can try copying directly from HQ web portal, WCO credit detail, into a separate worksheet and clean up the data first.</t>
  </si>
  <si>
    <t>2. Enter your historical data usage.</t>
  </si>
  <si>
    <t>3. Switch to the Events tab</t>
  </si>
  <si>
    <t>Click on the button "Update".</t>
  </si>
  <si>
    <t>This workbook has example data in blue cells. Replace it with your data!</t>
  </si>
  <si>
    <t>There is a section where you can copy/paste scenarios for future reference. Blue cells are not protected.</t>
  </si>
  <si>
    <t>To validate your winter credits, you will need to do 3 things:</t>
  </si>
  <si>
    <t>The model needs 24 hourly buckets of kWh usage, starting on Nov 15th, 2025.</t>
  </si>
  <si>
    <t>Simply run the query in HA GUI, export the results as CSV, then copy the data to the Data tab.</t>
  </si>
  <si>
    <t>All your data will automatically be calculated and compared with Hydro Quebec existing credits you entered earlier</t>
  </si>
  <si>
    <t>I have included a SQLite query that can be used with Home Assistant, SQLite Web add on. See SQLite tab.</t>
  </si>
  <si>
    <t>Over credit and under credit will be displayed in column W, named "Diff".</t>
  </si>
  <si>
    <t>Don’t' be surprised by the variances greater +/- 0.01$, Hydro Quebec has made many, many errors in their credit calculations to date</t>
  </si>
  <si>
    <t>NOTES and DEFINITIONS</t>
  </si>
  <si>
    <t>Columns C to H should come from your Hydro Quebec Customer Portal, Winter Credit details</t>
  </si>
  <si>
    <t>https://session.hydroquebec.com/client/group/suivi-performance</t>
  </si>
  <si>
    <t>Columns J to W are calculated from your HQ data.</t>
  </si>
  <si>
    <t>Be sure to populate the Data tab first, using the SQLite query supplied.</t>
  </si>
  <si>
    <t>Column Titles and Descriptions</t>
  </si>
  <si>
    <t>Seqential number of the critical event</t>
  </si>
  <si>
    <t>For future use.</t>
  </si>
  <si>
    <t>Period of day for the event (AM/PM).</t>
  </si>
  <si>
    <t>HQ calculated actual critical peak energy consumed (kWh)</t>
  </si>
  <si>
    <t>HQ calculated Reference Energy less Actual (kWh)</t>
  </si>
  <si>
    <t>HQ calculated Reference Energy (Anchor Actual less Anchor Average plus Temperature Adjustment) kWh</t>
  </si>
  <si>
    <t>HQ calculated credit ($)</t>
  </si>
  <si>
    <t>Anchor average kWh based on the Reference Period (5 previous similar non-critical days and periods). Hourly data has MIN and MAX removed.</t>
  </si>
  <si>
    <t>Peak average kWh based on the Reference Period (5 previous similar non-critical days and periods). Hourly data has MIN and MAX removed.</t>
  </si>
  <si>
    <t>Actual kWh consumed during the critical anchor period.</t>
  </si>
  <si>
    <t>Peak kWh consumed during the critical anchor period. This should match column F.</t>
  </si>
  <si>
    <t>Temperature Adjustment using Method 1 (used if curtailed energy is 40kWh or less). Temperature adjustment equals Anchor Actual less Anchor Average. Cannot be less than zero.</t>
  </si>
  <si>
    <t>Energy Curtailed with Method 1. Energy Curtailed equals Reference Energy using Method 1 less Peak Actual.</t>
  </si>
  <si>
    <t>Energy Curtailed with Method 2. Energy Curtailed equals Reference Energy using Method 2 less Peak Actual.</t>
  </si>
  <si>
    <t>Credit in $ if Energy Curtailed Method 1 results in 40 kWh or less, otherwise 0$.</t>
  </si>
  <si>
    <t>Actual calculated credit. This should equal column H, but may not, especially for Method 2.</t>
  </si>
  <si>
    <t>Difference between the true calculated credit and HQ''s published credit.</t>
  </si>
  <si>
    <t>https://www.hydroquebec.com/data/documents-donnees/pdf/electricity-rates.pdf?v=20250401</t>
  </si>
  <si>
    <t>Extracted from English Version:</t>
  </si>
  <si>
    <t>French Version:</t>
  </si>
  <si>
    <t>https://www.hydroquebec.com/data/documents-donnees/pdf/tarifs-electricite.pdf?v=HT-2025-v3</t>
  </si>
  <si>
    <t>NOTE!</t>
  </si>
  <si>
    <t>Temperature Adjustment values are prorated differently for AM and PM critical events.</t>
  </si>
  <si>
    <t>An PM event has a 2 hour anchor period and a 4 hour peak period, thus the terperature adjustment is prorated by 2 (TA * 2).</t>
  </si>
  <si>
    <t>An AM event has a 3 hour anchor period and a 4 hour peak period, thus the terperature adjustment is prorated by 4/3 (TA / 3 * 4).</t>
  </si>
  <si>
    <t>' ------------------------------------------------------------------------------</t>
  </si>
  <si>
    <t>' Written by: Tony ILLIG</t>
  </si>
  <si>
    <t>'</t>
  </si>
  <si>
    <t>' This code is released into the public domain for non-commercial use.</t>
  </si>
  <si>
    <t>' Permission is granted to copy, modify, and redistribute this code, provided</t>
  </si>
  <si>
    <t>' that proper credit is given to the original author in any derivative works</t>
  </si>
  <si>
    <t>' or redistributed versions.</t>
  </si>
  <si>
    <t>' This code is provided "as is" without warranty of any kind, express or</t>
  </si>
  <si>
    <t>' implied. The author shall not be held liable for any damages, losses, or</t>
  </si>
  <si>
    <t>' other issues arising from the use, misuse, or inability to use this code.</t>
  </si>
  <si>
    <t>' Commercial use requires prior written permission from the author.</t>
  </si>
  <si>
    <t>The workbook and its worksheets are protected, but not password enabled.</t>
  </si>
  <si>
    <t>Read the License tab if you wish to make modifications for you own use.</t>
  </si>
  <si>
    <t>Please share any discovered bugs with me on Discord</t>
  </si>
  <si>
    <t>A word from the author:</t>
  </si>
  <si>
    <r>
      <t xml:space="preserve">Under no circumstances does the author condone or encourage the abuse of the Hydro Quebec Winter Credit Option </t>
    </r>
    <r>
      <rPr>
        <b/>
        <i/>
        <sz val="11"/>
        <color theme="1"/>
        <rFont val="Calibri"/>
        <family val="2"/>
        <scheme val="minor"/>
      </rPr>
      <t>by wasteful energy use</t>
    </r>
    <r>
      <rPr>
        <i/>
        <sz val="11"/>
        <color theme="1"/>
        <rFont val="Calibri"/>
        <family val="2"/>
        <scheme val="minor"/>
      </rPr>
      <t xml:space="preserve"> for the sole purpose of deriving an electric utility credit.</t>
    </r>
  </si>
  <si>
    <t>Remarques</t>
  </si>
  <si>
    <t>Moyenne période d'ancrage de référence</t>
  </si>
  <si>
    <t>Moyenne période de pointe de référence</t>
  </si>
  <si>
    <t>$/kWh énergie effacée</t>
  </si>
  <si>
    <t>Simulation AM ou PM</t>
  </si>
  <si>
    <t>Period d'anchorage estimée</t>
  </si>
  <si>
    <t>Period d'anchorage réele</t>
  </si>
  <si>
    <t>Period de pointe estimée</t>
  </si>
  <si>
    <t>Period de pointe réele</t>
  </si>
  <si>
    <t xml:space="preserve">Pour utiliser le simulateur, passez à l'onglet « Simulateur » et saisissez les valeurs manquantes en bleu.    </t>
  </si>
  <si>
    <t xml:space="preserve">Le simulateur calculera l'ancrage critique optimal et, éventuellement, la valeur de pointe critique optimale, en kWh.    </t>
  </si>
  <si>
    <t xml:space="preserve">Une section vous permet de copier/coller des scénarios pour référence future. Les cellules bleues ne sont pas protégées.    </t>
  </si>
  <si>
    <t xml:space="preserve">    </t>
  </si>
  <si>
    <t>Pour valider vos crédits hivernaux, vous devrez effectuer 3 opérations :</t>
  </si>
  <si>
    <t>1. Saisissez tous vos événements réels à ce jour dans l'onglet « Events ».</t>
  </si>
  <si>
    <t>Vous pouvez essayer de copier directement depuis le portail Web du Hydro Québec, les détails de crédit, dans une feuille de calcul séparée et nettoyer les données au préalable.</t>
  </si>
  <si>
    <t>2. Saisissez votre historique de consommation.</t>
  </si>
  <si>
    <t>Le modèle nécessite 24 tranches horaires de consommation en kWh, à partir du 15 novembre 2025.</t>
  </si>
  <si>
    <t>J'ai inclus une requête SQLite qui peut être utilisée avec Home Assistant, l'extension « SQLite Web ». Voir l'onglet SQLite.</t>
  </si>
  <si>
    <t>Il suffit d'exécuter la requête dans l'interface graphique HA, d'exporter les résultats au format CSV, puis de copier les données dans l'onglet « Data »</t>
  </si>
  <si>
    <t>3. Passez à l'onglet « Events ».</t>
  </si>
  <si>
    <t>Cliquez sur le bouton « Update ».</t>
  </si>
  <si>
    <t>Toutes vos données seront automatiquement calculées et comparées aux crédits Hydro Québec existants que vous avez saisis précédemment.</t>
  </si>
  <si>
    <t>Les crédits excédentaires et insuffisants seront affichés dans la colonne W, intitulée « Diff ».</t>
  </si>
  <si>
    <t>Ne soyez pas surpris par les écarts supérieurs à +/- 0,01 $, Hydro Québec a commis de nombreuses erreurs dans ses calculs de crédits à ce jour.</t>
  </si>
  <si>
    <t>Vous pouvez également charger n'importe quelle ligne dans le simulateur en utilisant le bouton approprié « Load row into Simulator » dans l'onglet Événements.</t>
  </si>
  <si>
    <t>Remarque spéciale à l'attention des développeurs et des passionnés :</t>
  </si>
  <si>
    <t xml:space="preserve">Lisez l'onglet Licence si vous souhaitez apporter des modifications pour votre usage personnel.    </t>
  </si>
  <si>
    <t xml:space="preserve">Veuillez me signaler tout bug découvert sur Discord    </t>
  </si>
  <si>
    <t xml:space="preserve">Un mot de l'auteur :    </t>
  </si>
  <si>
    <t>L'auteur ne tolère ni n'encourage en aucun cas l'abus de l'option de crédit hivernal d'Hydro-Québec par une utilisation gaspilleuse de l'énergie dans le seul but d'obtenir un crédit d'électricité.</t>
  </si>
  <si>
    <t>Titres et descriptions des colonnes</t>
  </si>
  <si>
    <t>No. - Numéro séquentiel de l'événement critique.</t>
  </si>
  <si>
    <t>Validation - Pour utilisation future.</t>
  </si>
  <si>
    <t>Heures - Période de la journée pour l'événement (AM/PM).</t>
  </si>
  <si>
    <t>Énergie de référence - Énergie de référence calculée par HQ (référence réelle moins moyenne de référence plus ajustement de température) kWh.</t>
  </si>
  <si>
    <t>Énergie réelle - Énergie de pointe critique réelle consommée selon HQ (kWh).</t>
  </si>
  <si>
    <t>Énergie effacée - Énergie de référence calculée selon HQ (kWh).</t>
  </si>
  <si>
    <t>Crédit - Crédit calculé par le siège social ($).</t>
  </si>
  <si>
    <t>Moyenne des kWh de référence basée sur la période de référence (5 jours et périodes similaires non critiques précédents). Les données horaires ne tiennent pas compte des valeurs MIN et MAX.</t>
  </si>
  <si>
    <t>Moyenne des kWh de pointe basée sur la période de référence (5 jours et périodes similaires non critiques précédents). Les données horaires ne tiennent pas compte des valeurs MIN et MAX.</t>
  </si>
  <si>
    <t>Consommation réelle en kWh pendant la période de référence critique.</t>
  </si>
  <si>
    <t>Consommation de pointe en kWh pendant la période de référence critique. Cette valeur doit correspondre à la colonne F.</t>
  </si>
  <si>
    <t>Ajustement de température selon la méthode 1 (utilisée si l'énergie réduite est inférieure ou égale à 40 kWh). L'ajustement de température est égal à la valeur réelle de référence moins la moyenne de référence. Il ne peut être inférieur à zéro.</t>
  </si>
  <si>
    <t>Énergie de référence selon la méthode 1. L'énergie de référence est égale à la valeur réelle de référence moins la moyenne de référence, plus l'ajustement de température au prorata selon la méthode 1.</t>
  </si>
  <si>
    <t>Énergie de référence selon la méthode 2. L'énergie de référence est égale à la valeur réelle de référence moins la moyenne de référence, plus l'ajustement de température au prorata selon la méthode 2.</t>
  </si>
  <si>
    <t>Énergie réduite selon la méthode 1. L'énergie réduite est égale à l'énergie de référence selon la méthode 1 moins la valeur maximale réelle.</t>
  </si>
  <si>
    <t>Énergie réduite avec la méthode 2. L'énergie réduite est égale à l'énergie de référence calculée à l'aide de la méthode 2, moins la consommation maximale réelle.</t>
  </si>
  <si>
    <t>Crédit en dollars si l'énergie réduite selon la méthode 1 est inférieure ou égale à 40 kWh, sinon 0 $.</t>
  </si>
  <si>
    <t>Crédit en dollars si l'énergie réduite selon la méthode 1 est supérieure à 40 kWh, sinon 0 $.</t>
  </si>
  <si>
    <t>Crédit réel calculé. Il devrait être égal à la colonne H, mais ce n'est pas toujours le cas, en particulier pour la méthode 2.</t>
  </si>
  <si>
    <t>Différence entre le crédit réel calculé et le crédit publié par le siège social.</t>
  </si>
  <si>
    <t>Les valeurs d'ajustement de température sont calculées différemment pour les événements critiques AM et PM.</t>
  </si>
  <si>
    <t>Un événement AM a une période de référence de 3 heures et une période de pointe de 4 heures, donc l'ajustement de température est calculé au prorata de 4/3 (TA / 3 * 4).</t>
  </si>
  <si>
    <t>Un événement PM a une période de référence de 2 heures et une période de pointe de 4 heures, donc l'ajustement de température est calculé au prorata de 2 (TA * 2).</t>
  </si>
  <si>
    <t>Les colonnes C à H doivent provenir de votre portail client Hydro-Québec, détails du crédit hivernal.</t>
  </si>
  <si>
    <t>Les colonnes J à W sont calculées à partir de vos données HQ.</t>
  </si>
  <si>
    <t>Veillez à remplir d'abord l'onglet Données à l'aide de la requête SQLite fournie.</t>
  </si>
  <si>
    <t>NOTES et DÉFINITIONS</t>
  </si>
  <si>
    <t>Special note for developers and enthusiasts:</t>
  </si>
  <si>
    <t>Alternatively, you can simply enter the DATE, AM/PM and the CREDIT AMOUNT in dollars. These are the minimum fields necessary.</t>
  </si>
  <si>
    <t>Vous pouvez également saisir simplement la DATE, AM/PM et le MONTANT DU CRÉDIT en dollars. Ce sont les champs obligatoires.</t>
  </si>
  <si>
    <t xml:space="preserve">Le fichier et ses feuilles de calcul sont protégés, mais ne sont pas protégés par mot de passe.    </t>
  </si>
  <si>
    <t>You can also load any row into the simulator by using the appropriate button "Load row in Simulator"  on the Events tab.</t>
  </si>
  <si>
    <t>HQ Username</t>
  </si>
  <si>
    <t>Contract ID</t>
  </si>
  <si>
    <t>Start Date</t>
  </si>
  <si>
    <t>' Initial Version: February 2, 2026</t>
  </si>
  <si>
    <t>' Updated: v4.x February 6, 2026</t>
  </si>
  <si>
    <t>' The spreadsheet now have the capability to fetch the customer's WCO credits</t>
  </si>
  <si>
    <t>' and historical hourly consumption directly from the HQ customer portal.</t>
  </si>
  <si>
    <t>' The user only needs to supply their user name, password and Contract number.</t>
  </si>
  <si>
    <t>' The password is *NOT* saved anywhere inside the spreadsheet.</t>
  </si>
  <si>
    <t>' The code to fetch the data is 100% VBA. It should run without issues, although</t>
  </si>
  <si>
    <t>' it does rely on .NET Framework 3.5+ to be installed on Windows.</t>
  </si>
  <si>
    <t>' I have tested the spreadsheet and VBA on Windows 11. It has not been tested on MacOS.</t>
  </si>
  <si>
    <t>' The code module HydroQuebec_AzureB2C is based on the excellent Python API Wrapper</t>
  </si>
  <si>
    <t>' found here: https://gitlab.com/hydroqc/hydroqc. It was written with the help</t>
  </si>
  <si>
    <t>' of Antropic Claude Code (LLM) and emulates the same Python login workflow, but</t>
  </si>
  <si>
    <t>' in VBA. This makes the spreadsheet a complete standalone tool for anyone signed up</t>
  </si>
  <si>
    <t>' for HQ Winter Credit Option, aka CPC.</t>
  </si>
  <si>
    <t>Steps 1 and 2 are now fully automated. Switch to the Config tab for instructions on how to fetch your data from the HQ web portal directly. No copy/pasting necessary.</t>
  </si>
  <si>
    <t>Customer Portal Information</t>
  </si>
  <si>
    <t>Les étapes 1 et 2 sont désormais entièrement automatisées. Passez à l'onglet Config pour obtenir des instructions sur la manière de récupérer directement vos données depuis le portail Web HQ. Aucun copier-coller n'est nécessaire.</t>
  </si>
  <si>
    <t>Enter your Hydro Quebec customer portal user name in cell B2.</t>
  </si>
  <si>
    <t>The contract number must be 10 digits long, if not, prefix it with a zero.</t>
  </si>
  <si>
    <t>For the 2025-2026 Winter Season, leave the start date as is: 2025-11-24.</t>
  </si>
  <si>
    <t>Ensure you have internet access.</t>
  </si>
  <si>
    <t>The entire process takes about 1 to 3 minutes. Be patient, you will be told when all the data has been downloaded.</t>
  </si>
  <si>
    <t>Entrez votre nom d'utilisateur du portail client d'Hydro-Québec dans la cellule B2.</t>
  </si>
  <si>
    <t>Le numéro de contrat doit comporter 10 chiffres. Si ce n'est pas le cas, ajoutez un zéro devant.</t>
  </si>
  <si>
    <t>Pour la saison hivernale 2025-2026, laissez la date de début telle quelle : 2025-11-24.</t>
  </si>
  <si>
    <t>Assurez-vous d'avoir accès à Internet.</t>
  </si>
  <si>
    <t>L'ensemble du processus prend environ 1 à 3 minutes. Soyez patient, vous serez averti lorsque toutes les données auront été téléchargées.</t>
  </si>
  <si>
    <t>Subsequent logins will update any missing historical data and missing credits.</t>
  </si>
  <si>
    <t>Les connexions suivantes mettront à jour les données historiques manquantes et les crédits manquants.</t>
  </si>
  <si>
    <t>Mode d'emploi</t>
  </si>
  <si>
    <r>
      <rPr>
        <b/>
        <sz val="11"/>
        <color theme="1"/>
        <rFont val="Calibri"/>
        <family val="2"/>
        <scheme val="minor"/>
      </rPr>
      <t>energy curtailed:</t>
    </r>
    <r>
      <rPr>
        <sz val="11"/>
        <color theme="1"/>
        <rFont val="Calibri"/>
        <family val="2"/>
        <scheme val="minor"/>
      </rPr>
      <t xml:space="preserve"> A value, expressed in kilowatthours, corresponding to the difference between the reference energy and the energy consumption during the peak demand event. This value cannot be negative.</t>
    </r>
  </si>
  <si>
    <t>Reference Energy LESS Peak Demand Actual Consumption</t>
  </si>
  <si>
    <r>
      <rPr>
        <b/>
        <sz val="11"/>
        <color theme="1"/>
        <rFont val="Calibri"/>
        <family val="2"/>
        <scheme val="minor"/>
      </rPr>
      <t>énergie effacée :</t>
    </r>
    <r>
      <rPr>
        <sz val="11"/>
        <color theme="1"/>
        <rFont val="Calibri"/>
        <family val="2"/>
        <scheme val="minor"/>
      </rPr>
      <t xml:space="preserve"> une valeur, exprimée en kilowattheures, qui correspond à la différence entre l’énergie de référence et l’énergie consommée pendant l’événement de pointe. Cette valeur ne peut être négative.</t>
    </r>
  </si>
  <si>
    <r>
      <rPr>
        <b/>
        <sz val="11"/>
        <color theme="1"/>
        <rFont val="Calibri"/>
        <family val="2"/>
        <scheme val="minor"/>
      </rPr>
      <t>peak demand event:</t>
    </r>
    <r>
      <rPr>
        <sz val="11"/>
        <color theme="1"/>
        <rFont val="Calibri"/>
        <family val="2"/>
        <scheme val="minor"/>
      </rPr>
      <t xml:space="preserve"> The sequence of peak hours indicated by Hydro‑Québec in the peak demand event notification sent to the customer in accordance with Article 2.62.</t>
    </r>
  </si>
  <si>
    <r>
      <rPr>
        <b/>
        <sz val="11"/>
        <color theme="1"/>
        <rFont val="Calibri"/>
        <family val="2"/>
        <scheme val="minor"/>
      </rPr>
      <t>événement de pointe :</t>
    </r>
    <r>
      <rPr>
        <sz val="11"/>
        <color theme="1"/>
        <rFont val="Calibri"/>
        <family val="2"/>
        <scheme val="minor"/>
      </rPr>
      <t xml:space="preserve"> la séquence d’heures de pointe indiquée par Hydro-Québec dans l’avis d’événement de pointe transmis au client ou à la cliente conformément à l’article 2.62.</t>
    </r>
  </si>
  <si>
    <r>
      <rPr>
        <b/>
        <sz val="11"/>
        <color theme="1"/>
        <rFont val="Calibri"/>
        <family val="2"/>
        <scheme val="minor"/>
      </rPr>
      <t>peak hours:</t>
    </r>
    <r>
      <rPr>
        <sz val="11"/>
        <color theme="1"/>
        <rFont val="Calibri"/>
        <family val="2"/>
        <scheme val="minor"/>
      </rPr>
      <t xml:space="preserve"> All hours from 06:00 to 10:00 and from 16:00 to 20:00 during the winter period, excluding December 24, 25, 26 and 31, January 1 and 2, as well as Good Friday and Easter Monday when the latter fall within the winter period.</t>
    </r>
  </si>
  <si>
    <t>AM PEAK: 6-10am
PM PEAK: 4-8pm</t>
  </si>
  <si>
    <r>
      <rPr>
        <b/>
        <sz val="11"/>
        <color theme="1"/>
        <rFont val="Calibri"/>
        <family val="2"/>
        <scheme val="minor"/>
      </rPr>
      <t>heures de pointe :</t>
    </r>
    <r>
      <rPr>
        <sz val="11"/>
        <color theme="1"/>
        <rFont val="Calibri"/>
        <family val="2"/>
        <scheme val="minor"/>
      </rPr>
      <t xml:space="preserve"> toutes les heures entre 6 h et 10 h et entre 16 h et 20 h en période d’hiver, sauf pour les 24, 25, 26 et 31 décembre, les 1er et 2 janvier ainsi que le Vendredi saint et le lundi de Pâques quand ces deux jours surviennent en période d’hiver.</t>
    </r>
  </si>
  <si>
    <r>
      <rPr>
        <b/>
        <sz val="11"/>
        <color theme="1"/>
        <rFont val="Calibri"/>
        <family val="2"/>
        <scheme val="minor"/>
      </rPr>
      <t>reference energy:</t>
    </r>
    <r>
      <rPr>
        <sz val="11"/>
        <color theme="1"/>
        <rFont val="Calibri"/>
        <family val="2"/>
        <scheme val="minor"/>
      </rPr>
      <t xml:space="preserve"> A value, expressed in kilowatthours, representing the customer’s estimated energy consumption during the peak demand event according to their normal consumption profile. This value is equal to the sum of the averages of the actual values recorded each hour during the relevant time range in the reference period, excluding the minimum and maximum values for each hour, and the temperature adjustment.</t>
    </r>
  </si>
  <si>
    <t>An estimate of energy consumption during the peak demand event: Peak Average plus Temperature Adjustment</t>
  </si>
  <si>
    <r>
      <rPr>
        <b/>
        <sz val="11"/>
        <color theme="1"/>
        <rFont val="Calibri"/>
        <family val="2"/>
        <scheme val="minor"/>
      </rPr>
      <t>énergie de référence :</t>
    </r>
    <r>
      <rPr>
        <sz val="11"/>
        <color theme="1"/>
        <rFont val="Calibri"/>
        <family val="2"/>
        <scheme val="minor"/>
      </rPr>
      <t xml:space="preserve"> une valeur, exprimée en kilowattheures, qui représente une estimation de la consommation d’énergie du client ou de la cliente pendant l’événement de pointe d’après son profil habituel de consommation. Cette valeur correspond à la somme des moyennes des valeurs réelles enregistrées chaque heure durant la plage horaire pertinente de la période de référence, exclusion faite des valeurs minimale et maximale de chaque heure, et de l’ajustement pour la température.</t>
    </r>
  </si>
  <si>
    <r>
      <rPr>
        <b/>
        <sz val="11"/>
        <color theme="1"/>
        <rFont val="Calibri"/>
        <family val="2"/>
        <scheme val="minor"/>
      </rPr>
      <t>reference period:</t>
    </r>
    <r>
      <rPr>
        <sz val="11"/>
        <color theme="1"/>
        <rFont val="Calibri"/>
        <family val="2"/>
        <scheme val="minor"/>
      </rPr>
      <t xml:space="preserve"> Depending on whether the peak demand event occurs on a weekday or weekend, the period corresponding to the peak hours of the 5 weekdays or 5 weekend days preceding the day of the peak demand event and during which there was no such event.</t>
    </r>
  </si>
  <si>
    <t>A period of 5 similar days with no peak demand event</t>
  </si>
  <si>
    <r>
      <rPr>
        <b/>
        <sz val="11"/>
        <color theme="1"/>
        <rFont val="Calibri"/>
        <family val="2"/>
        <scheme val="minor"/>
      </rPr>
      <t>période de référence :</t>
    </r>
    <r>
      <rPr>
        <sz val="11"/>
        <color theme="1"/>
        <rFont val="Calibri"/>
        <family val="2"/>
        <scheme val="minor"/>
      </rPr>
      <t xml:space="preserve"> selon que l’événement de pointe a lieu un jour de semaine ou de fin de semaine, la période correspondant aux heures de pointe comprises dans les 5 jours de semaine ou les 5 jours de fin de semaine précédant la journée de l’événement de pointe et au cours desquels il n’y a pas eu d’événement de pointe.</t>
    </r>
  </si>
  <si>
    <r>
      <rPr>
        <b/>
        <sz val="11"/>
        <color theme="1"/>
        <rFont val="Calibri"/>
        <family val="2"/>
        <scheme val="minor"/>
      </rPr>
      <t>temperature adjustment:</t>
    </r>
    <r>
      <rPr>
        <sz val="11"/>
        <color theme="1"/>
        <rFont val="Calibri"/>
        <family val="2"/>
        <scheme val="minor"/>
      </rPr>
      <t xml:space="preserve"> A value, expressed in kilowatthours, that is equal to the difference between:</t>
    </r>
  </si>
  <si>
    <t>Temperature adjustment for AM peak demand events</t>
  </si>
  <si>
    <r>
      <rPr>
        <b/>
        <sz val="11"/>
        <color theme="1"/>
        <rFont val="Calibri"/>
        <family val="2"/>
        <scheme val="minor"/>
      </rPr>
      <t xml:space="preserve">ajustement pour la température : </t>
    </r>
    <r>
      <rPr>
        <sz val="11"/>
        <color theme="1"/>
        <rFont val="Calibri"/>
        <family val="2"/>
        <scheme val="minor"/>
      </rPr>
      <t>une valeur, exprimée  en kilowattheures, qui correspond à la différence entre :</t>
    </r>
  </si>
  <si>
    <r>
      <t xml:space="preserve">the </t>
    </r>
    <r>
      <rPr>
        <b/>
        <sz val="11"/>
        <color rgb="FFFF0000"/>
        <rFont val="Calibri"/>
        <family val="2"/>
        <scheme val="minor"/>
      </rPr>
      <t>sum of the actual values</t>
    </r>
    <r>
      <rPr>
        <sz val="11"/>
        <color theme="1"/>
        <rFont val="Calibri"/>
        <family val="2"/>
        <scheme val="minor"/>
      </rPr>
      <t xml:space="preserve"> recorded each hour during the period of 3 consecutive hours beginning 5 hours before the start of a peak demand event that occurs in the morning, and</t>
    </r>
  </si>
  <si>
    <t>– la somme des valeurs réelles enregistrées chaque heure durant la période de 3 heures consécutives débutant 5 heures avant le début d’un événement de pointe qui a lieu le matin et</t>
  </si>
  <si>
    <r>
      <t>the</t>
    </r>
    <r>
      <rPr>
        <b/>
        <sz val="11"/>
        <color rgb="FFFF0000"/>
        <rFont val="Calibri"/>
        <family val="2"/>
        <scheme val="minor"/>
      </rPr>
      <t xml:space="preserve"> sum of the averages</t>
    </r>
    <r>
      <rPr>
        <sz val="11"/>
        <rFont val="Calibri"/>
        <family val="2"/>
        <scheme val="minor"/>
      </rPr>
      <t xml:space="preserve"> of the actual values recorded each hour during the corresponding time ranges in the reference period, excluding the minimum and maximum values for each hour;</t>
    </r>
  </si>
  <si>
    <t>– la somme des moyennes des valeurs réelles  enregistrées chaque heure durant les plages  horaires correspondantes de la période de référence, exclusion faite des valeurs minimale  et maximale de chaque heure ;</t>
  </si>
  <si>
    <t xml:space="preserve"> ou </t>
  </si>
  <si>
    <t>Temperature adjustment for PM peak demand events</t>
  </si>
  <si>
    <t xml:space="preserve">– la somme des valeurs réelles enregistrées chaque  heure durant la période de 2 heures consécutives  débutant 4 heures avant le début d’un événement  de pointe qui a lieu le soir et </t>
  </si>
  <si>
    <t xml:space="preserve">– la somme des moyennes des valeurs réelles  enregistrées chaque heure durant les plages  horaires correspondantes de la période de  référence, exclusion faite des valeurs minimale  et maximale de chaque heure ; </t>
  </si>
  <si>
    <t>EXCEPTION</t>
  </si>
  <si>
    <t xml:space="preserve">sauf si l’énergie effacée dépasse 40 k W h, auquel  cas l’ajustement pour la température est limité à : </t>
  </si>
  <si>
    <r>
      <t>2 times the</t>
    </r>
    <r>
      <rPr>
        <b/>
        <sz val="11"/>
        <color rgb="FFFF0000"/>
        <rFont val="Calibri"/>
        <family val="2"/>
        <scheme val="minor"/>
      </rPr>
      <t xml:space="preserve"> sum of the averages</t>
    </r>
    <r>
      <rPr>
        <sz val="11"/>
        <color rgb="FFFF0000"/>
        <rFont val="Calibri"/>
        <family val="2"/>
        <scheme val="minor"/>
      </rPr>
      <t xml:space="preserve"> </t>
    </r>
    <r>
      <rPr>
        <sz val="11"/>
        <rFont val="Calibri"/>
        <family val="2"/>
        <scheme val="minor"/>
      </rPr>
      <t>of the actual values recorded each hour during the periods of 3 consecutive hours beginning 5 hours before all the corresponding time ranges in the reference period if the peak demand event occurs in the morning, excluding the minimum and maximum values for each hour;</t>
    </r>
  </si>
  <si>
    <t xml:space="preserve">– 2 fois la somme des moyennes des valeurs réelles  enregistrées chaque heure durant les périodes de  3 heures consécutives débutant 5 heures avant  toutes les plages horaires correspondantes de la  période de référence si l’événement de pointe a  lieu le matin, exclusion faite des valeurs minimale  et maximale de chaque heure ; </t>
  </si>
  <si>
    <t xml:space="preserve">ou </t>
  </si>
  <si>
    <t xml:space="preserve">– 2 fois la somme des moyennes des valeurs réelles  enregistrées chaque heure durant les périodes de  2 heures consécutives débutant 4 heures avant  toutes les plages horaires correspondantes de la  période de référence si l’événement de pointe a  lieu le soir, exclusion faite des valeurs minimale et  maximale de chaque heure.  </t>
  </si>
  <si>
    <t>This value (temperature adjustment) is prorated according to the number of hours included in the peak demand event.</t>
  </si>
  <si>
    <t>In all cases, the temperature adjustment is prorated by 133% if an AM event, otherwiise 200% if it is a PM event</t>
  </si>
  <si>
    <t>Cette valeur (l'ajustement de temperature) est ajustée au prorata du nombre d’heures  comprises dans l’événement de pointe.</t>
  </si>
  <si>
    <t>AM - Limit the temperature adjustment above to a maximum of 2 times the anchor average.</t>
  </si>
  <si>
    <t>PM - Limit the temperature adjustment above to a maximum of 2 times the anchor average.</t>
  </si>
  <si>
    <t xml:space="preserve">     │ = sum(hourly averages) + MIN( capped TA, Preliminary TA)│</t>
  </si>
  <si>
    <t xml:space="preserve">     │ Compute FINAL reference energy                          │</t>
  </si>
  <si>
    <t xml:space="preserve">     ┌─────────────────────────────────────────────────────────┐</t>
  </si>
  <si>
    <t xml:space="preserve">     └──────────────────┬──────────────────────────────────────┘</t>
  </si>
  <si>
    <t>Would FlexD be more advantageous?</t>
  </si>
  <si>
    <t>Anchor 5 day Average</t>
  </si>
  <si>
    <t>Peak 5 day Average</t>
  </si>
  <si>
    <t>No</t>
  </si>
  <si>
    <t>Refresh all historical data</t>
  </si>
  <si>
    <t>Future development</t>
  </si>
  <si>
    <t>Currently, all calculations suggest Flex-D is capped at 20% cost reduction, while WVO can have cost reductions as high as 47%</t>
  </si>
  <si>
    <t>Note</t>
  </si>
  <si>
    <t>Note: Home Assistant users with HydroQC add, please see https://github.com/illigtr/hydroqc for additional tools to use with this simulator!</t>
  </si>
  <si>
    <t>This worksheet needs macros enabled. Please click on "Enable Content". You can select your language preference thereafter.</t>
  </si>
  <si>
    <t xml:space="preserve">Cette feuille de calcul nécessite l'activation des macros. Veuillez cliquer sur « Activer le contenu ». Vous pourrez ensuite sélectionner votre langue préférée.
</t>
  </si>
  <si>
    <t>Under no circumstances does the author condone or encourage the abuse of the Hydro Quebec Winter Credit Option by wasteful energy use for the sole purpose of deriving an electric utility credit.</t>
  </si>
  <si>
    <t>1. Il peut être utilisé pour simuler le crédit hivernal prévu d'Hydro-Québec.</t>
  </si>
  <si>
    <t>2. Il peut valider les crédits existants par rapport à votre consommation historique réelle.</t>
  </si>
  <si>
    <t>Ce ficher a deux objectifs.</t>
  </si>
  <si>
    <t>En général, toutes les cellules sont protégées, sauf celles en bleu ou orange clair.</t>
  </si>
  <si>
    <t>In general, all cells are protected, except those in light blue or orange</t>
  </si>
  <si>
    <t>Light blue/orange cells are for you to populate with your data.</t>
  </si>
  <si>
    <t>Les cellules bleu/orange clair sont destinées à être remplies avec vos données.</t>
  </si>
  <si>
    <t>Click on the button Login to HQ Customer Portal.</t>
  </si>
  <si>
    <t>Cliquez sur le bouton « Login to HQ Customer Portal » et récupérez les données.</t>
  </si>
  <si>
    <t>Informations sur le portail client</t>
  </si>
  <si>
    <t>Nom d'utilisateur HQ</t>
  </si>
  <si>
    <t>Identifiant du contrat</t>
  </si>
  <si>
    <t>Date de début</t>
  </si>
  <si>
    <t>Actualiser toutes les données historiques</t>
  </si>
  <si>
    <t>----------------------------------------------- Config Page ------------------------</t>
  </si>
  <si>
    <t>Temperature Adjustment using Method 2 (used if curtailed energy is greater than 40kWh). Temperature adjustment is limited to 2 times the Anchor Average. Anchor Actual is ignored.</t>
  </si>
  <si>
    <t>Reference Energy using Method 1. Reference Energy equals Anchor Actual less Anchor Average plus prorated Temperature Adjustment using Method 1.</t>
  </si>
  <si>
    <t>Reference Energy using Method 2. Reference Energy equals Anchor Actual less Anchor Average plus prorated Temperature Adjustment using Method 2.</t>
  </si>
  <si>
    <t>Credit in $ if Energy Curtailed Method 1 results in greater than 40 kWh, otherwise 0$.</t>
  </si>
  <si>
    <t>Ajustement de température selon la méthode 2 (utilisée si l'énergie réduite est supérieure à 40 kWh). L'ajustement de température est limité,  à deux fois la moyenne de référence.</t>
  </si>
  <si>
    <t>----------------- Simulator Page ------------</t>
  </si>
  <si>
    <t>----------------------------------------------- Events Page ------------------------</t>
  </si>
  <si>
    <t>Cible d'ancrage calculée</t>
  </si>
  <si>
    <t>Target</t>
  </si>
  <si>
    <t>Anchor target and credit if curtailed energy is less than 40kWh</t>
  </si>
  <si>
    <t>Suggested Peak Target - if anchor target missed</t>
  </si>
  <si>
    <t>Otherwise, use the clear button and enter the mandatory orange field values</t>
  </si>
  <si>
    <t>See the Events tab to load an event automatically into the simulator.</t>
  </si>
  <si>
    <t>Alternate anchor target if curtailed energy exceeds 40kWh, maximum HQ credit possible.</t>
  </si>
  <si>
    <t>Your optimised anchor target will appear in cell A12 and C16</t>
  </si>
  <si>
    <t>The data table below shows what happens if you increase or decrease your anchor target, +/- 1 kWh per row above and below</t>
  </si>
  <si>
    <t>If you know your actual anchor energy. Enter it here. If your credit was reduced, you may be able to maximise your credit by adjusting your peak estimate shown in C17.</t>
  </si>
  <si>
    <t>If we are part the critical event, you can enter your actual critical event energy used.</t>
  </si>
  <si>
    <t>ï</t>
  </si>
  <si>
    <t>Consultez l'onglet Événements pour charger automatiquement un événement dans le simulateur.</t>
  </si>
  <si>
    <t>Sinon, utilisez le bouton Effacer et saisissez les valeurs obligatoires dans les champs orange.</t>
  </si>
  <si>
    <t>Votre objectif d'ancrage optimisé apparaîtra dans les cellules A12 et C16.</t>
  </si>
  <si>
    <t>Le tableau de données ci-dessous montre ce qui se passe si vous augmentez ou diminuez votre objectif d'ancrage de +/- 1 kWh par ligne au-dessus et en dessous.</t>
  </si>
  <si>
    <t>Si vous connaissez votre consommation énergétique réelle, saisissez-la ici. Si votre crédit a été réduit, vous pouvez peut-être maximiser votre crédit en ajustant votre estimation de pointe indiquée dans C17.</t>
  </si>
  <si>
    <t>Si nous faisons partie de l'événement critique, vous pouvez saisir votre consommation énergétique réelle lors de cet événement.</t>
  </si>
  <si>
    <t>Remarque : les utilisateurs de Home Assistant avec HydroQC add peuvent consulter https://github.com/illigtr/hydroqc pour obtenir des outils supplémentaires à utiliser avec ce simulateur !</t>
  </si>
  <si>
    <t>Cible de référence et crédit si l'énergie réduite est inférieure à 40 kWh</t>
  </si>
  <si>
    <t>Cible maximale suggérée - si la cible de référence n'est pas atteinte</t>
  </si>
  <si>
    <t>Cible de référence alternative si l'énergie réduite dépasse 40 kWh, crédit HQ maximal possible.</t>
  </si>
  <si>
    <t>en</t>
  </si>
  <si>
    <t>Enter your contract number in cell B3. You can find this number on your invoice, on page 2, in the left hand column.</t>
  </si>
  <si>
    <t>Entrez votre numéro de contrat dans la cellule B3. Vous trouverez ce numéro sur votre facture, à la page 2, dans la colonne de gauche.</t>
  </si>
  <si>
    <t>Yes</t>
  </si>
  <si>
    <t>Date of the critical event.</t>
  </si>
  <si>
    <t xml:space="preserve">Dates - Date de l'événement critique.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</si>
</sst>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8" formatCode="&quot;$&quot;#,##0.00;[Red]\-&quot;$&quot;#,##0.00"/>
    <numFmt numFmtId="44" formatCode="_-&quot;$&quot;* #,##0.00_-;\-&quot;$&quot;* #,##0.00_-;_-&quot;$&quot;* &quot;-&quot;??_-;_-@_-"/>
    <numFmt numFmtId="43" formatCode="_-* #,##0.00_-;\-* #,##0.00_-;_-* &quot;-&quot;??_-;_-@_-"/>
    <numFmt numFmtId="164" formatCode="_-&quot;$&quot;* #,##0.00000_-;\-&quot;$&quot;* #,##0.00000_-;_-&quot;$&quot;* &quot;-&quot;??_-;_-@_-"/>
    <numFmt numFmtId="165" formatCode="_-* #,##0.00000_-;\-* #,##0.00000_-;_-* &quot;-&quot;??_-;_-@_-"/>
  </numFmts>
  <fonts count="2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sz val="11"/>
      <color rgb="FFFF0000"/>
      <name val="Calibri"/>
      <family val="2"/>
      <scheme val="minor"/>
    </font>
    <font>
      <b/>
      <sz val="12"/>
      <color rgb="FFC00000"/>
      <name val="Calibri"/>
      <family val="2"/>
      <scheme val="minor"/>
    </font>
    <font>
      <b/>
      <sz val="14"/>
      <color rgb="FFFF0000"/>
      <name val="Calibri"/>
      <family val="2"/>
      <scheme val="minor"/>
    </font>
    <font>
      <sz val="11"/>
      <color theme="1"/>
      <name val="Courier New"/>
      <family val="3"/>
    </font>
    <font>
      <b/>
      <sz val="14"/>
      <color theme="1"/>
      <name val="Calibri"/>
      <family val="2"/>
      <scheme val="minor"/>
    </font>
    <font>
      <i/>
      <sz val="11"/>
      <name val="Calibri"/>
      <family val="2"/>
      <scheme val="minor"/>
    </font>
    <font>
      <u/>
      <sz val="11"/>
      <color theme="10"/>
      <name val="Calibri"/>
      <family val="2"/>
      <scheme val="minor"/>
    </font>
    <font>
      <sz val="9"/>
      <color indexed="81"/>
      <name val="Tahoma"/>
      <family val="2"/>
    </font>
    <font>
      <b/>
      <sz val="9"/>
      <color indexed="81"/>
      <name val="Tahoma"/>
      <family val="2"/>
    </font>
    <font>
      <sz val="12"/>
      <color theme="1"/>
      <name val="Calibri"/>
      <family val="2"/>
      <scheme val="minor"/>
    </font>
    <font>
      <b/>
      <i/>
      <sz val="11"/>
      <color theme="1"/>
      <name val="Calibri"/>
      <family val="2"/>
      <scheme val="minor"/>
    </font>
    <font>
      <b/>
      <i/>
      <sz val="12"/>
      <color theme="1"/>
      <name val="Calibri"/>
      <family val="2"/>
      <scheme val="minor"/>
    </font>
    <font>
      <sz val="11"/>
      <name val="Calibri"/>
      <family val="2"/>
      <scheme val="minor"/>
    </font>
    <font>
      <sz val="11"/>
      <color rgb="FF000000"/>
      <name val="Calibri"/>
      <family val="2"/>
    </font>
    <font>
      <sz val="14"/>
      <color theme="1"/>
      <name val="Wingdings"/>
      <charset val="2"/>
    </font>
    <font>
      <sz val="10"/>
      <color theme="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FF00"/>
        <bgColor indexed="64"/>
      </patternFill>
    </fill>
  </fills>
  <borders count="1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2" fillId="0" borderId="0" applyNumberFormat="0" applyFill="0" applyBorder="0" applyAlignment="0" applyProtection="0"/>
  </cellStyleXfs>
  <cellXfs count="118">
    <xf numFmtId="0" fontId="0" fillId="0" borderId="0" xfId="0"/>
    <xf numFmtId="0" fontId="4" fillId="0" borderId="0" xfId="0" applyFont="1"/>
    <xf numFmtId="0" fontId="5" fillId="0" borderId="0" xfId="0" applyFont="1"/>
    <xf numFmtId="43" fontId="0" fillId="0" borderId="0" xfId="1" applyFont="1"/>
    <xf numFmtId="43" fontId="0" fillId="3" borderId="0" xfId="1" applyFont="1" applyFill="1"/>
    <xf numFmtId="44" fontId="2" fillId="0" borderId="0" xfId="2" applyFont="1"/>
    <xf numFmtId="43" fontId="0" fillId="4" borderId="4" xfId="1" applyFont="1" applyFill="1" applyBorder="1"/>
    <xf numFmtId="43" fontId="0" fillId="5" borderId="4" xfId="1" applyFont="1" applyFill="1" applyBorder="1"/>
    <xf numFmtId="44" fontId="2" fillId="4" borderId="4" xfId="2" applyFont="1" applyFill="1" applyBorder="1"/>
    <xf numFmtId="0" fontId="6" fillId="0" borderId="0" xfId="0" applyFont="1" applyAlignment="1">
      <alignment horizontal="right"/>
    </xf>
    <xf numFmtId="44" fontId="6" fillId="0" borderId="0" xfId="0" applyNumberFormat="1" applyFont="1"/>
    <xf numFmtId="43" fontId="6" fillId="0" borderId="0" xfId="1" applyFont="1" applyFill="1" applyBorder="1"/>
    <xf numFmtId="44" fontId="0" fillId="0" borderId="4" xfId="0" applyNumberFormat="1" applyBorder="1" applyAlignment="1"/>
    <xf numFmtId="14" fontId="0" fillId="0" borderId="0" xfId="0" applyNumberFormat="1"/>
    <xf numFmtId="0" fontId="3" fillId="0" borderId="0" xfId="0" applyFont="1"/>
    <xf numFmtId="0" fontId="0" fillId="0" borderId="4" xfId="0" applyBorder="1"/>
    <xf numFmtId="0" fontId="0" fillId="0" borderId="0" xfId="0" applyAlignment="1">
      <alignment horizontal="right"/>
    </xf>
    <xf numFmtId="0" fontId="7" fillId="0" borderId="0" xfId="0" applyFont="1"/>
    <xf numFmtId="43" fontId="0" fillId="0" borderId="4" xfId="0" applyNumberFormat="1" applyFill="1" applyBorder="1"/>
    <xf numFmtId="43" fontId="0" fillId="0" borderId="4" xfId="1" applyFont="1" applyFill="1" applyBorder="1"/>
    <xf numFmtId="49" fontId="0" fillId="0" borderId="0" xfId="0" applyNumberFormat="1" applyAlignment="1">
      <alignment wrapText="1"/>
    </xf>
    <xf numFmtId="0" fontId="0" fillId="0" borderId="0" xfId="0" applyAlignment="1">
      <alignment vertical="center"/>
    </xf>
    <xf numFmtId="0" fontId="9" fillId="0" borderId="0" xfId="0" applyFont="1" applyAlignment="1">
      <alignment vertical="center"/>
    </xf>
    <xf numFmtId="49" fontId="4" fillId="0" borderId="0" xfId="0" applyNumberFormat="1" applyFont="1" applyAlignment="1">
      <alignment wrapText="1"/>
    </xf>
    <xf numFmtId="8" fontId="0" fillId="0" borderId="4" xfId="0" applyNumberFormat="1" applyBorder="1"/>
    <xf numFmtId="49" fontId="0" fillId="0" borderId="0" xfId="0" applyNumberFormat="1" applyAlignment="1">
      <alignment horizontal="center" vertical="center" wrapText="1"/>
    </xf>
    <xf numFmtId="43" fontId="0" fillId="2" borderId="4" xfId="1" applyFont="1" applyFill="1" applyBorder="1" applyProtection="1">
      <protection locked="0"/>
    </xf>
    <xf numFmtId="0" fontId="0" fillId="2" borderId="4" xfId="0" applyFill="1" applyBorder="1" applyProtection="1">
      <protection locked="0"/>
    </xf>
    <xf numFmtId="14" fontId="0" fillId="2" borderId="4" xfId="0" applyNumberFormat="1" applyFill="1" applyBorder="1" applyProtection="1">
      <protection locked="0"/>
    </xf>
    <xf numFmtId="0" fontId="0" fillId="2" borderId="4" xfId="0" applyFill="1" applyBorder="1" applyAlignment="1" applyProtection="1">
      <alignment horizontal="center"/>
      <protection locked="0"/>
    </xf>
    <xf numFmtId="8" fontId="0" fillId="2" borderId="4" xfId="0" applyNumberFormat="1" applyFill="1" applyBorder="1" applyProtection="1">
      <protection locked="0"/>
    </xf>
    <xf numFmtId="0" fontId="10" fillId="0" borderId="0" xfId="0" applyFont="1"/>
    <xf numFmtId="43" fontId="0" fillId="0" borderId="4" xfId="1" applyFont="1" applyFill="1" applyBorder="1" applyProtection="1">
      <protection locked="0"/>
    </xf>
    <xf numFmtId="0" fontId="0" fillId="0" borderId="0" xfId="0" applyProtection="1">
      <protection locked="0"/>
    </xf>
    <xf numFmtId="0" fontId="12" fillId="0" borderId="0" xfId="5"/>
    <xf numFmtId="49" fontId="15" fillId="0" borderId="0" xfId="0" applyNumberFormat="1" applyFont="1" applyAlignment="1">
      <alignment horizontal="right" wrapText="1"/>
    </xf>
    <xf numFmtId="0" fontId="8" fillId="0" borderId="0" xfId="0" applyFont="1"/>
    <xf numFmtId="164" fontId="0" fillId="2" borderId="4" xfId="2" applyNumberFormat="1" applyFont="1" applyFill="1" applyBorder="1"/>
    <xf numFmtId="0" fontId="0" fillId="0" borderId="0" xfId="0" applyAlignment="1">
      <alignment wrapText="1"/>
    </xf>
    <xf numFmtId="0" fontId="5"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6" fillId="0" borderId="0" xfId="0" applyFont="1" applyAlignment="1">
      <alignment wrapText="1"/>
    </xf>
    <xf numFmtId="0" fontId="6" fillId="0" borderId="0" xfId="0" applyFont="1" applyAlignment="1">
      <alignment wrapText="1"/>
    </xf>
    <xf numFmtId="0" fontId="11" fillId="0" borderId="0" xfId="0" applyFont="1" applyAlignment="1">
      <alignment wrapText="1"/>
    </xf>
    <xf numFmtId="0" fontId="0" fillId="0" borderId="0" xfId="0" applyAlignment="1">
      <alignment horizontal="left" wrapText="1" indent="2"/>
    </xf>
    <xf numFmtId="0" fontId="6" fillId="0" borderId="0" xfId="0" applyFont="1" applyAlignment="1">
      <alignment horizontal="left" wrapText="1" indent="2"/>
    </xf>
    <xf numFmtId="0" fontId="11" fillId="0" borderId="0" xfId="0" applyFont="1" applyAlignment="1">
      <alignment horizontal="left" wrapText="1" indent="2"/>
    </xf>
    <xf numFmtId="0" fontId="5" fillId="0" borderId="0" xfId="0" applyFont="1" applyAlignment="1">
      <alignment horizontal="left" wrapText="1" indent="2"/>
    </xf>
    <xf numFmtId="49" fontId="0" fillId="0" borderId="4" xfId="0" applyNumberFormat="1" applyBorder="1" applyAlignment="1">
      <alignment horizontal="center" vertical="center" wrapText="1"/>
    </xf>
    <xf numFmtId="49" fontId="0" fillId="0" borderId="0" xfId="0" applyNumberFormat="1" applyAlignment="1">
      <alignment horizontal="center" vertical="center" wrapText="1"/>
    </xf>
    <xf numFmtId="0" fontId="0" fillId="0" borderId="4" xfId="0" applyBorder="1" applyProtection="1">
      <protection locked="0"/>
    </xf>
    <xf numFmtId="49" fontId="0" fillId="0" borderId="0" xfId="0" applyNumberFormat="1" applyAlignment="1"/>
    <xf numFmtId="49" fontId="18" fillId="0" borderId="4" xfId="0" applyNumberFormat="1" applyFont="1" applyBorder="1" applyAlignment="1">
      <alignment horizontal="center" vertical="center" wrapText="1"/>
    </xf>
    <xf numFmtId="49" fontId="16" fillId="6" borderId="4" xfId="0" applyNumberFormat="1" applyFont="1" applyFill="1" applyBorder="1" applyAlignment="1">
      <alignment horizontal="center" vertical="center" wrapText="1"/>
    </xf>
    <xf numFmtId="49" fontId="0" fillId="6" borderId="4" xfId="0" applyNumberFormat="1" applyFill="1" applyBorder="1" applyAlignment="1">
      <alignment horizontal="center" vertical="center" wrapText="1"/>
    </xf>
    <xf numFmtId="44" fontId="0" fillId="0" borderId="3" xfId="0" applyNumberFormat="1" applyBorder="1" applyAlignment="1"/>
    <xf numFmtId="43" fontId="0" fillId="7" borderId="1" xfId="1" applyFont="1" applyFill="1" applyBorder="1" applyProtection="1">
      <protection locked="0"/>
    </xf>
    <xf numFmtId="43" fontId="0" fillId="7" borderId="4" xfId="1" applyFont="1" applyFill="1" applyBorder="1" applyProtection="1">
      <protection locked="0"/>
    </xf>
    <xf numFmtId="0" fontId="0" fillId="7" borderId="4" xfId="0" applyFill="1" applyBorder="1" applyProtection="1">
      <protection locked="0"/>
    </xf>
    <xf numFmtId="0" fontId="0" fillId="7" borderId="4" xfId="0" applyFill="1" applyBorder="1" applyAlignment="1" applyProtection="1">
      <alignment horizontal="right"/>
      <protection locked="0"/>
    </xf>
    <xf numFmtId="165" fontId="0" fillId="0" borderId="4" xfId="0" applyNumberFormat="1" applyFill="1" applyBorder="1"/>
    <xf numFmtId="14" fontId="0" fillId="0" borderId="4" xfId="0" applyNumberFormat="1" applyFill="1" applyBorder="1" applyProtection="1">
      <protection locked="0"/>
    </xf>
    <xf numFmtId="0" fontId="6" fillId="0" borderId="4" xfId="0" applyFont="1" applyBorder="1" applyAlignment="1">
      <alignment horizontal="center" vertical="center" wrapText="1"/>
    </xf>
    <xf numFmtId="43" fontId="6" fillId="0" borderId="4" xfId="1" applyFont="1" applyFill="1" applyBorder="1"/>
    <xf numFmtId="0" fontId="0" fillId="0" borderId="0" xfId="0" applyAlignment="1"/>
    <xf numFmtId="0" fontId="0" fillId="6" borderId="4" xfId="0" applyFill="1" applyBorder="1" applyAlignment="1">
      <alignment horizontal="center"/>
    </xf>
    <xf numFmtId="0" fontId="20" fillId="0" borderId="0" xfId="0" applyFont="1" applyAlignment="1">
      <alignment horizontal="center"/>
    </xf>
    <xf numFmtId="0" fontId="6" fillId="0" borderId="0" xfId="0" applyFont="1"/>
    <xf numFmtId="0" fontId="10" fillId="0" borderId="0" xfId="0" applyFont="1" applyProtection="1">
      <protection locked="0"/>
    </xf>
    <xf numFmtId="0" fontId="5" fillId="0" borderId="0" xfId="0" applyFont="1" applyProtection="1">
      <protection locked="0"/>
    </xf>
    <xf numFmtId="0" fontId="0" fillId="0" borderId="0" xfId="0" applyAlignment="1" applyProtection="1">
      <alignment wrapText="1"/>
      <protection locked="0"/>
    </xf>
    <xf numFmtId="0" fontId="5" fillId="0" borderId="0" xfId="0" applyFont="1" applyAlignment="1" applyProtection="1">
      <alignment wrapText="1"/>
      <protection locked="0"/>
    </xf>
    <xf numFmtId="0" fontId="3" fillId="0" borderId="0" xfId="0" applyFont="1" applyAlignment="1" applyProtection="1">
      <alignment wrapText="1"/>
      <protection locked="0"/>
    </xf>
    <xf numFmtId="0" fontId="0" fillId="0" borderId="0" xfId="0" applyAlignment="1" applyProtection="1">
      <alignment horizontal="left" wrapText="1" indent="2"/>
      <protection locked="0"/>
    </xf>
    <xf numFmtId="0" fontId="6" fillId="0" borderId="0" xfId="0" applyFont="1" applyAlignment="1" applyProtection="1">
      <alignment horizontal="left" wrapText="1" indent="2"/>
      <protection locked="0"/>
    </xf>
    <xf numFmtId="0" fontId="11" fillId="0" borderId="0" xfId="0" applyFont="1" applyAlignment="1" applyProtection="1">
      <alignment horizontal="left" wrapText="1" indent="2"/>
      <protection locked="0"/>
    </xf>
    <xf numFmtId="0" fontId="16" fillId="0" borderId="0" xfId="0" applyFont="1" applyAlignment="1" applyProtection="1">
      <alignment wrapText="1"/>
      <protection locked="0"/>
    </xf>
    <xf numFmtId="0" fontId="4" fillId="0" borderId="0" xfId="0" applyFont="1" applyProtection="1">
      <protection locked="0"/>
    </xf>
    <xf numFmtId="0" fontId="12" fillId="0" borderId="0" xfId="5" applyProtection="1">
      <protection locked="0"/>
    </xf>
    <xf numFmtId="0" fontId="3" fillId="0" borderId="0" xfId="0" applyFont="1" applyProtection="1">
      <protection locked="0"/>
    </xf>
    <xf numFmtId="0" fontId="7" fillId="0" borderId="0" xfId="0" applyFont="1" applyProtection="1">
      <protection locked="0"/>
    </xf>
    <xf numFmtId="0" fontId="0" fillId="0" borderId="0" xfId="0" applyAlignment="1" applyProtection="1">
      <alignment horizontal="center" wrapText="1"/>
      <protection locked="0"/>
    </xf>
    <xf numFmtId="0" fontId="17" fillId="8" borderId="0" xfId="0" applyFont="1" applyFill="1" applyAlignment="1" applyProtection="1">
      <alignment wrapText="1"/>
      <protection locked="0"/>
    </xf>
    <xf numFmtId="0" fontId="0" fillId="0" borderId="0" xfId="0" applyFont="1" applyProtection="1">
      <protection locked="0"/>
    </xf>
    <xf numFmtId="0" fontId="6" fillId="0" borderId="0" xfId="0" applyFont="1" applyProtection="1">
      <protection locked="0"/>
    </xf>
    <xf numFmtId="49" fontId="12" fillId="2" borderId="4" xfId="5" applyNumberFormat="1" applyFill="1" applyBorder="1" applyProtection="1">
      <protection locked="0"/>
    </xf>
    <xf numFmtId="49" fontId="0" fillId="2" borderId="4" xfId="0" quotePrefix="1" applyNumberFormat="1" applyFill="1" applyBorder="1" applyProtection="1">
      <protection locked="0"/>
    </xf>
    <xf numFmtId="49" fontId="0" fillId="0" borderId="4" xfId="0" applyNumberFormat="1" applyBorder="1" applyAlignment="1" applyProtection="1">
      <alignment horizontal="center" vertical="center" wrapText="1"/>
      <protection locked="0"/>
    </xf>
    <xf numFmtId="49" fontId="0" fillId="0" borderId="0" xfId="0" applyNumberFormat="1" applyAlignment="1" applyProtection="1">
      <alignment horizontal="center" vertical="center" wrapText="1"/>
      <protection locked="0"/>
    </xf>
    <xf numFmtId="49" fontId="0" fillId="0" borderId="1" xfId="0" applyNumberFormat="1" applyBorder="1" applyAlignment="1" applyProtection="1">
      <alignment horizontal="left" vertical="center"/>
      <protection locked="0"/>
    </xf>
    <xf numFmtId="49" fontId="0" fillId="0" borderId="2" xfId="0" applyNumberFormat="1" applyBorder="1" applyAlignment="1" applyProtection="1">
      <alignment horizontal="left" vertical="center"/>
      <protection locked="0"/>
    </xf>
    <xf numFmtId="49" fontId="0" fillId="0" borderId="3" xfId="0" applyNumberFormat="1" applyBorder="1" applyAlignment="1" applyProtection="1">
      <alignment horizontal="left"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5" fillId="0" borderId="3" xfId="0" applyFont="1" applyBorder="1" applyAlignment="1" applyProtection="1">
      <alignment horizontal="center"/>
      <protection locked="0"/>
    </xf>
    <xf numFmtId="0" fontId="3" fillId="0" borderId="1" xfId="0"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0" fillId="0" borderId="4" xfId="0" applyBorder="1" applyAlignment="1" applyProtection="1">
      <alignment horizontal="left"/>
      <protection locked="0"/>
    </xf>
    <xf numFmtId="49" fontId="0" fillId="0" borderId="5" xfId="0" applyNumberFormat="1" applyBorder="1" applyAlignment="1" applyProtection="1">
      <alignment horizontal="left" vertical="center" wrapText="1"/>
      <protection locked="0"/>
    </xf>
    <xf numFmtId="49" fontId="0" fillId="0" borderId="6" xfId="0" applyNumberFormat="1" applyBorder="1" applyAlignment="1" applyProtection="1">
      <alignment horizontal="left" vertical="center" wrapText="1"/>
      <protection locked="0"/>
    </xf>
    <xf numFmtId="49" fontId="0" fillId="0" borderId="7" xfId="0" applyNumberFormat="1" applyBorder="1" applyAlignment="1" applyProtection="1">
      <alignment horizontal="left" vertical="center" wrapText="1"/>
      <protection locked="0"/>
    </xf>
    <xf numFmtId="49" fontId="0" fillId="0" borderId="8" xfId="0" applyNumberFormat="1" applyBorder="1" applyAlignment="1" applyProtection="1">
      <alignment horizontal="left" vertical="center" wrapText="1"/>
      <protection locked="0"/>
    </xf>
    <xf numFmtId="49" fontId="0" fillId="0" borderId="9" xfId="0" applyNumberFormat="1" applyBorder="1" applyAlignment="1" applyProtection="1">
      <alignment horizontal="left" vertical="center" wrapText="1"/>
      <protection locked="0"/>
    </xf>
    <xf numFmtId="49" fontId="0" fillId="0" borderId="10" xfId="0" applyNumberFormat="1" applyBorder="1" applyAlignment="1" applyProtection="1">
      <alignment horizontal="left" vertical="center" wrapText="1"/>
      <protection locked="0"/>
    </xf>
    <xf numFmtId="49" fontId="21" fillId="0" borderId="5" xfId="0" applyNumberFormat="1" applyFont="1" applyBorder="1" applyAlignment="1" applyProtection="1">
      <alignment horizontal="left" vertical="center" wrapText="1"/>
      <protection locked="0"/>
    </xf>
    <xf numFmtId="49" fontId="21" fillId="0" borderId="6" xfId="0" applyNumberFormat="1" applyFont="1" applyBorder="1" applyAlignment="1" applyProtection="1">
      <alignment horizontal="left" vertical="center" wrapText="1"/>
      <protection locked="0"/>
    </xf>
    <xf numFmtId="49" fontId="21" fillId="0" borderId="7" xfId="0" applyNumberFormat="1" applyFont="1" applyBorder="1" applyAlignment="1" applyProtection="1">
      <alignment horizontal="left" vertical="center" wrapText="1"/>
      <protection locked="0"/>
    </xf>
    <xf numFmtId="49" fontId="21" fillId="0" borderId="8" xfId="0" applyNumberFormat="1" applyFont="1" applyBorder="1" applyAlignment="1" applyProtection="1">
      <alignment horizontal="left" vertical="center" wrapText="1"/>
      <protection locked="0"/>
    </xf>
    <xf numFmtId="49" fontId="21" fillId="0" borderId="9" xfId="0" applyNumberFormat="1" applyFont="1" applyBorder="1" applyAlignment="1" applyProtection="1">
      <alignment horizontal="left" vertical="center" wrapText="1"/>
      <protection locked="0"/>
    </xf>
    <xf numFmtId="49" fontId="21" fillId="0" borderId="10" xfId="0" applyNumberFormat="1" applyFont="1" applyBorder="1" applyAlignment="1" applyProtection="1">
      <alignment horizontal="left" vertical="center" wrapText="1"/>
      <protection locked="0"/>
    </xf>
    <xf numFmtId="0" fontId="0" fillId="0" borderId="4" xfId="0" applyBorder="1" applyAlignment="1" applyProtection="1">
      <alignment horizontal="left" wrapText="1"/>
      <protection locked="0"/>
    </xf>
    <xf numFmtId="0" fontId="3" fillId="0" borderId="4" xfId="0" applyFont="1" applyBorder="1" applyAlignment="1" applyProtection="1">
      <alignment horizontal="left"/>
      <protection locked="0"/>
    </xf>
    <xf numFmtId="49" fontId="0" fillId="0" borderId="4" xfId="0" applyNumberFormat="1" applyBorder="1" applyAlignment="1">
      <alignment horizontal="center" vertical="center" wrapText="1"/>
    </xf>
  </cellXfs>
  <cellStyles count="6">
    <cellStyle name="Comma" xfId="1" builtinId="3"/>
    <cellStyle name="Comma 2" xfId="3"/>
    <cellStyle name="Currency" xfId="2" builtinId="4"/>
    <cellStyle name="Currency 2" xfId="4"/>
    <cellStyle name="Hyperlink"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19050</xdr:rowOff>
    </xdr:from>
    <xdr:to>
      <xdr:col>0</xdr:col>
      <xdr:colOff>6373109</xdr:colOff>
      <xdr:row>2</xdr:row>
      <xdr:rowOff>51</xdr:rowOff>
    </xdr:to>
    <xdr:pic>
      <xdr:nvPicPr>
        <xdr:cNvPr id="2" name="Picture 1"/>
        <xdr:cNvPicPr>
          <a:picLocks noChangeAspect="1"/>
        </xdr:cNvPicPr>
      </xdr:nvPicPr>
      <xdr:blipFill>
        <a:blip xmlns:r="http://schemas.openxmlformats.org/officeDocument/2006/relationships" r:embed="rId1"/>
        <a:stretch>
          <a:fillRect/>
        </a:stretch>
      </xdr:blipFill>
      <xdr:spPr>
        <a:xfrm>
          <a:off x="38100" y="19050"/>
          <a:ext cx="6335009" cy="36200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1771650</xdr:colOff>
          <xdr:row>4</xdr:row>
          <xdr:rowOff>85725</xdr:rowOff>
        </xdr:from>
        <xdr:to>
          <xdr:col>0</xdr:col>
          <xdr:colOff>4133850</xdr:colOff>
          <xdr:row>6</xdr:row>
          <xdr:rowOff>161925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passer au français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2238375</xdr:colOff>
          <xdr:row>5</xdr:row>
          <xdr:rowOff>66675</xdr:rowOff>
        </xdr:from>
        <xdr:to>
          <xdr:col>2</xdr:col>
          <xdr:colOff>28575</xdr:colOff>
          <xdr:row>7</xdr:row>
          <xdr:rowOff>142875</xdr:rowOff>
        </xdr:to>
        <xdr:sp macro="" textlink="">
          <xdr:nvSpPr>
            <xdr:cNvPr id="13325" name="Button 13" hidden="1">
              <a:extLst>
                <a:ext uri="{63B3BB69-23CF-44E3-9099-C40C66FF867C}">
                  <a14:compatExt spid="_x0000_s13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Login to HQ Customer Portal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85725</xdr:rowOff>
        </xdr:from>
        <xdr:to>
          <xdr:col>8</xdr:col>
          <xdr:colOff>704850</xdr:colOff>
          <xdr:row>1</xdr:row>
          <xdr:rowOff>114300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31</xdr:row>
          <xdr:rowOff>152400</xdr:rowOff>
        </xdr:from>
        <xdr:to>
          <xdr:col>13</xdr:col>
          <xdr:colOff>238125</xdr:colOff>
          <xdr:row>33</xdr:row>
          <xdr:rowOff>38100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Load row into Simulator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xdr:row>
          <xdr:rowOff>95250</xdr:rowOff>
        </xdr:from>
        <xdr:to>
          <xdr:col>1</xdr:col>
          <xdr:colOff>390525</xdr:colOff>
          <xdr:row>2</xdr:row>
          <xdr:rowOff>133350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145"/>
  <sheetViews>
    <sheetView tabSelected="1" zoomScaleNormal="100" workbookViewId="0">
      <selection activeCell="A43" sqref="A43:A44"/>
    </sheetView>
  </sheetViews>
  <sheetFormatPr defaultRowHeight="15" x14ac:dyDescent="0.25"/>
  <cols>
    <col min="1" max="1" width="97" style="38" customWidth="1"/>
    <col min="2" max="2" width="8.140625" style="38" customWidth="1"/>
    <col min="3" max="3" width="9.140625" style="38" customWidth="1"/>
  </cols>
  <sheetData>
    <row r="1" spans="1:2" x14ac:dyDescent="0.25">
      <c r="A1" s="82" t="s">
        <v>351</v>
      </c>
      <c r="B1" s="71"/>
    </row>
    <row r="3" spans="1:2" ht="43.5" customHeight="1" x14ac:dyDescent="0.25">
      <c r="A3" s="63" t="s">
        <v>304</v>
      </c>
    </row>
    <row r="4" spans="1:2" ht="54" customHeight="1" x14ac:dyDescent="0.25">
      <c r="A4" s="63" t="s">
        <v>305</v>
      </c>
    </row>
    <row r="8" spans="1:2" ht="18.75" x14ac:dyDescent="0.3">
      <c r="A8" s="69" t="s">
        <v>89</v>
      </c>
    </row>
    <row r="9" spans="1:2" x14ac:dyDescent="0.25">
      <c r="A9" s="70"/>
    </row>
    <row r="10" spans="1:2" x14ac:dyDescent="0.25">
      <c r="A10" s="71" t="s">
        <v>90</v>
      </c>
    </row>
    <row r="11" spans="1:2" x14ac:dyDescent="0.25">
      <c r="A11" s="71" t="s">
        <v>91</v>
      </c>
    </row>
    <row r="12" spans="1:2" x14ac:dyDescent="0.25">
      <c r="A12" s="71" t="s">
        <v>92</v>
      </c>
    </row>
    <row r="13" spans="1:2" x14ac:dyDescent="0.25">
      <c r="A13" s="71"/>
    </row>
    <row r="14" spans="1:2" x14ac:dyDescent="0.25">
      <c r="A14" s="71" t="s">
        <v>311</v>
      </c>
    </row>
    <row r="15" spans="1:2" x14ac:dyDescent="0.25">
      <c r="A15" s="71" t="s">
        <v>312</v>
      </c>
    </row>
    <row r="16" spans="1:2" x14ac:dyDescent="0.25">
      <c r="A16" s="72"/>
    </row>
    <row r="17" spans="1:1" x14ac:dyDescent="0.25">
      <c r="A17" s="71"/>
    </row>
    <row r="18" spans="1:1" x14ac:dyDescent="0.25">
      <c r="A18" s="73" t="s">
        <v>95</v>
      </c>
    </row>
    <row r="19" spans="1:1" ht="30" x14ac:dyDescent="0.25">
      <c r="A19" s="71" t="s">
        <v>96</v>
      </c>
    </row>
    <row r="20" spans="1:1" x14ac:dyDescent="0.25">
      <c r="A20" s="72" t="s">
        <v>103</v>
      </c>
    </row>
    <row r="21" spans="1:1" x14ac:dyDescent="0.25">
      <c r="A21" s="71"/>
    </row>
    <row r="22" spans="1:1" x14ac:dyDescent="0.25">
      <c r="A22" s="73" t="s">
        <v>104</v>
      </c>
    </row>
    <row r="23" spans="1:1" x14ac:dyDescent="0.25">
      <c r="A23" s="72" t="s">
        <v>97</v>
      </c>
    </row>
    <row r="24" spans="1:1" ht="30" x14ac:dyDescent="0.25">
      <c r="A24" s="74" t="s">
        <v>98</v>
      </c>
    </row>
    <row r="25" spans="1:1" ht="30" x14ac:dyDescent="0.25">
      <c r="A25" s="74" t="s">
        <v>218</v>
      </c>
    </row>
    <row r="26" spans="1:1" x14ac:dyDescent="0.25">
      <c r="A26" s="72" t="s">
        <v>99</v>
      </c>
    </row>
    <row r="27" spans="1:1" x14ac:dyDescent="0.25">
      <c r="A27" s="74" t="s">
        <v>105</v>
      </c>
    </row>
    <row r="28" spans="1:1" ht="30" x14ac:dyDescent="0.25">
      <c r="A28" s="74" t="s">
        <v>108</v>
      </c>
    </row>
    <row r="29" spans="1:1" x14ac:dyDescent="0.25">
      <c r="A29" s="74" t="s">
        <v>106</v>
      </c>
    </row>
    <row r="30" spans="1:1" ht="31.5" x14ac:dyDescent="0.25">
      <c r="A30" s="83" t="s">
        <v>239</v>
      </c>
    </row>
    <row r="31" spans="1:1" x14ac:dyDescent="0.25">
      <c r="A31" s="72" t="s">
        <v>100</v>
      </c>
    </row>
    <row r="32" spans="1:1" x14ac:dyDescent="0.25">
      <c r="A32" s="74" t="s">
        <v>101</v>
      </c>
    </row>
    <row r="33" spans="1:1" ht="30" x14ac:dyDescent="0.25">
      <c r="A33" s="74" t="s">
        <v>107</v>
      </c>
    </row>
    <row r="34" spans="1:1" x14ac:dyDescent="0.25">
      <c r="A34" s="75" t="s">
        <v>109</v>
      </c>
    </row>
    <row r="35" spans="1:1" x14ac:dyDescent="0.25">
      <c r="A35" s="76"/>
    </row>
    <row r="36" spans="1:1" ht="30" x14ac:dyDescent="0.25">
      <c r="A36" s="74" t="s">
        <v>221</v>
      </c>
    </row>
    <row r="37" spans="1:1" x14ac:dyDescent="0.25">
      <c r="A37" s="71"/>
    </row>
    <row r="38" spans="1:1" x14ac:dyDescent="0.25">
      <c r="A38" s="77" t="s">
        <v>217</v>
      </c>
    </row>
    <row r="39" spans="1:1" x14ac:dyDescent="0.25">
      <c r="A39" s="71" t="s">
        <v>153</v>
      </c>
    </row>
    <row r="40" spans="1:1" x14ac:dyDescent="0.25">
      <c r="A40" s="71" t="s">
        <v>154</v>
      </c>
    </row>
    <row r="41" spans="1:1" x14ac:dyDescent="0.25">
      <c r="A41" s="71" t="s">
        <v>155</v>
      </c>
    </row>
    <row r="42" spans="1:1" x14ac:dyDescent="0.25">
      <c r="A42" s="71"/>
    </row>
    <row r="43" spans="1:1" x14ac:dyDescent="0.25">
      <c r="A43" s="77" t="s">
        <v>156</v>
      </c>
    </row>
    <row r="44" spans="1:1" ht="30" x14ac:dyDescent="0.25">
      <c r="A44" s="72" t="s">
        <v>306</v>
      </c>
    </row>
    <row r="45" spans="1:1" x14ac:dyDescent="0.25">
      <c r="A45" s="71"/>
    </row>
    <row r="46" spans="1:1" x14ac:dyDescent="0.25">
      <c r="A46" s="71"/>
    </row>
    <row r="47" spans="1:1" x14ac:dyDescent="0.25">
      <c r="A47" s="71"/>
    </row>
    <row r="48" spans="1:1" x14ac:dyDescent="0.25">
      <c r="A48" s="71"/>
    </row>
    <row r="76" spans="1:1" ht="18.75" x14ac:dyDescent="0.3">
      <c r="A76" s="31" t="s">
        <v>89</v>
      </c>
    </row>
    <row r="77" spans="1:1" x14ac:dyDescent="0.25">
      <c r="A77" s="2"/>
    </row>
    <row r="78" spans="1:1" x14ac:dyDescent="0.25">
      <c r="A78" s="38" t="s">
        <v>90</v>
      </c>
    </row>
    <row r="79" spans="1:1" x14ac:dyDescent="0.25">
      <c r="A79" s="38" t="s">
        <v>91</v>
      </c>
    </row>
    <row r="80" spans="1:1" x14ac:dyDescent="0.25">
      <c r="A80" s="38" t="s">
        <v>92</v>
      </c>
    </row>
    <row r="82" spans="1:1" x14ac:dyDescent="0.25">
      <c r="A82" s="38" t="s">
        <v>93</v>
      </c>
    </row>
    <row r="83" spans="1:1" x14ac:dyDescent="0.25">
      <c r="A83" s="38" t="s">
        <v>94</v>
      </c>
    </row>
    <row r="84" spans="1:1" x14ac:dyDescent="0.25">
      <c r="A84" s="39" t="s">
        <v>102</v>
      </c>
    </row>
    <row r="86" spans="1:1" x14ac:dyDescent="0.25">
      <c r="A86" s="40" t="s">
        <v>95</v>
      </c>
    </row>
    <row r="87" spans="1:1" ht="30" x14ac:dyDescent="0.25">
      <c r="A87" s="38" t="s">
        <v>96</v>
      </c>
    </row>
    <row r="88" spans="1:1" x14ac:dyDescent="0.25">
      <c r="A88" s="39" t="s">
        <v>103</v>
      </c>
    </row>
    <row r="90" spans="1:1" x14ac:dyDescent="0.25">
      <c r="A90" s="40" t="s">
        <v>104</v>
      </c>
    </row>
    <row r="91" spans="1:1" x14ac:dyDescent="0.25">
      <c r="A91" s="39" t="s">
        <v>97</v>
      </c>
    </row>
    <row r="92" spans="1:1" ht="30" x14ac:dyDescent="0.25">
      <c r="A92" s="45" t="s">
        <v>98</v>
      </c>
    </row>
    <row r="93" spans="1:1" ht="30" x14ac:dyDescent="0.25">
      <c r="A93" s="45" t="s">
        <v>218</v>
      </c>
    </row>
    <row r="94" spans="1:1" x14ac:dyDescent="0.25">
      <c r="A94" s="39" t="s">
        <v>99</v>
      </c>
    </row>
    <row r="95" spans="1:1" x14ac:dyDescent="0.25">
      <c r="A95" s="45" t="s">
        <v>105</v>
      </c>
    </row>
    <row r="96" spans="1:1" ht="30" x14ac:dyDescent="0.25">
      <c r="A96" s="45" t="s">
        <v>108</v>
      </c>
    </row>
    <row r="97" spans="1:2" x14ac:dyDescent="0.25">
      <c r="A97" s="45" t="s">
        <v>106</v>
      </c>
    </row>
    <row r="98" spans="1:2" ht="31.5" x14ac:dyDescent="0.25">
      <c r="A98" s="41" t="s">
        <v>239</v>
      </c>
    </row>
    <row r="99" spans="1:2" x14ac:dyDescent="0.25">
      <c r="A99" s="39" t="s">
        <v>100</v>
      </c>
    </row>
    <row r="100" spans="1:2" x14ac:dyDescent="0.25">
      <c r="A100" s="45" t="s">
        <v>101</v>
      </c>
    </row>
    <row r="101" spans="1:2" ht="30" x14ac:dyDescent="0.25">
      <c r="A101" s="45" t="s">
        <v>107</v>
      </c>
    </row>
    <row r="102" spans="1:2" x14ac:dyDescent="0.25">
      <c r="A102" s="46" t="s">
        <v>109</v>
      </c>
      <c r="B102" s="43"/>
    </row>
    <row r="103" spans="1:2" ht="30" x14ac:dyDescent="0.25">
      <c r="A103" s="47" t="s">
        <v>110</v>
      </c>
      <c r="B103" s="44"/>
    </row>
    <row r="104" spans="1:2" ht="30" x14ac:dyDescent="0.25">
      <c r="A104" s="45" t="s">
        <v>221</v>
      </c>
    </row>
    <row r="106" spans="1:2" x14ac:dyDescent="0.25">
      <c r="A106" s="42" t="s">
        <v>217</v>
      </c>
    </row>
    <row r="107" spans="1:2" x14ac:dyDescent="0.25">
      <c r="A107" s="38" t="s">
        <v>153</v>
      </c>
    </row>
    <row r="108" spans="1:2" x14ac:dyDescent="0.25">
      <c r="A108" s="38" t="s">
        <v>154</v>
      </c>
    </row>
    <row r="109" spans="1:2" x14ac:dyDescent="0.25">
      <c r="A109" s="38" t="s">
        <v>155</v>
      </c>
    </row>
    <row r="111" spans="1:2" x14ac:dyDescent="0.25">
      <c r="A111" s="42" t="s">
        <v>156</v>
      </c>
    </row>
    <row r="112" spans="1:2" ht="30" x14ac:dyDescent="0.25">
      <c r="A112" s="39" t="s">
        <v>157</v>
      </c>
    </row>
    <row r="116" spans="1:1" ht="18.75" x14ac:dyDescent="0.3">
      <c r="A116" s="36"/>
    </row>
    <row r="117" spans="1:1" ht="18.75" x14ac:dyDescent="0.3">
      <c r="A117" s="31" t="s">
        <v>254</v>
      </c>
    </row>
    <row r="119" spans="1:1" x14ac:dyDescent="0.25">
      <c r="A119" s="40" t="s">
        <v>167</v>
      </c>
    </row>
    <row r="120" spans="1:1" ht="30" x14ac:dyDescent="0.25">
      <c r="A120" s="45" t="s">
        <v>168</v>
      </c>
    </row>
    <row r="121" spans="1:1" ht="30" x14ac:dyDescent="0.25">
      <c r="A121" s="48" t="s">
        <v>169</v>
      </c>
    </row>
    <row r="122" spans="1:1" x14ac:dyDescent="0.25">
      <c r="A122" s="38" t="s">
        <v>170</v>
      </c>
    </row>
    <row r="123" spans="1:1" x14ac:dyDescent="0.25">
      <c r="A123" s="40" t="s">
        <v>171</v>
      </c>
    </row>
    <row r="124" spans="1:1" x14ac:dyDescent="0.25">
      <c r="A124" s="39" t="s">
        <v>172</v>
      </c>
    </row>
    <row r="125" spans="1:1" ht="30" x14ac:dyDescent="0.25">
      <c r="A125" s="45" t="s">
        <v>173</v>
      </c>
    </row>
    <row r="126" spans="1:1" ht="30" x14ac:dyDescent="0.25">
      <c r="A126" s="45" t="s">
        <v>219</v>
      </c>
    </row>
    <row r="127" spans="1:1" x14ac:dyDescent="0.25">
      <c r="A127" s="39" t="s">
        <v>174</v>
      </c>
    </row>
    <row r="128" spans="1:1" x14ac:dyDescent="0.25">
      <c r="A128" s="45" t="s">
        <v>175</v>
      </c>
    </row>
    <row r="129" spans="1:3" ht="30" x14ac:dyDescent="0.25">
      <c r="A129" s="45" t="s">
        <v>176</v>
      </c>
    </row>
    <row r="130" spans="1:3" ht="30" x14ac:dyDescent="0.25">
      <c r="A130" s="45" t="s">
        <v>177</v>
      </c>
    </row>
    <row r="131" spans="1:3" ht="47.25" x14ac:dyDescent="0.25">
      <c r="A131" s="41" t="s">
        <v>241</v>
      </c>
    </row>
    <row r="132" spans="1:3" x14ac:dyDescent="0.25">
      <c r="A132" s="39" t="s">
        <v>178</v>
      </c>
    </row>
    <row r="133" spans="1:3" x14ac:dyDescent="0.25">
      <c r="A133" s="45" t="s">
        <v>179</v>
      </c>
    </row>
    <row r="134" spans="1:3" ht="30" x14ac:dyDescent="0.25">
      <c r="A134" s="45" t="s">
        <v>180</v>
      </c>
    </row>
    <row r="135" spans="1:3" x14ac:dyDescent="0.25">
      <c r="A135" s="46" t="s">
        <v>181</v>
      </c>
      <c r="C135" s="43"/>
    </row>
    <row r="136" spans="1:3" ht="30" x14ac:dyDescent="0.25">
      <c r="A136" s="45" t="s">
        <v>182</v>
      </c>
    </row>
    <row r="137" spans="1:3" ht="30" x14ac:dyDescent="0.25">
      <c r="A137" s="45" t="s">
        <v>183</v>
      </c>
    </row>
    <row r="139" spans="1:3" x14ac:dyDescent="0.25">
      <c r="A139" s="42" t="s">
        <v>184</v>
      </c>
    </row>
    <row r="140" spans="1:3" x14ac:dyDescent="0.25">
      <c r="A140" s="45" t="s">
        <v>220</v>
      </c>
    </row>
    <row r="141" spans="1:3" x14ac:dyDescent="0.25">
      <c r="A141" s="45" t="s">
        <v>185</v>
      </c>
    </row>
    <row r="142" spans="1:3" x14ac:dyDescent="0.25">
      <c r="A142" s="45" t="s">
        <v>186</v>
      </c>
    </row>
    <row r="143" spans="1:3" x14ac:dyDescent="0.25">
      <c r="A143" s="38" t="s">
        <v>170</v>
      </c>
    </row>
    <row r="144" spans="1:3" x14ac:dyDescent="0.25">
      <c r="A144" s="42" t="s">
        <v>187</v>
      </c>
    </row>
    <row r="145" spans="1:1" ht="30" x14ac:dyDescent="0.25">
      <c r="A145" s="48" t="s">
        <v>188</v>
      </c>
    </row>
  </sheetData>
  <sheetProtection sheet="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witchLanguage">
                <anchor moveWithCells="1" sizeWithCells="1">
                  <from>
                    <xdr:col>0</xdr:col>
                    <xdr:colOff>1771650</xdr:colOff>
                    <xdr:row>4</xdr:row>
                    <xdr:rowOff>85725</xdr:rowOff>
                  </from>
                  <to>
                    <xdr:col>0</xdr:col>
                    <xdr:colOff>4133850</xdr:colOff>
                    <xdr:row>6</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33"/>
  <sheetViews>
    <sheetView workbookViewId="0">
      <selection activeCell="B2" sqref="B2"/>
    </sheetView>
  </sheetViews>
  <sheetFormatPr defaultRowHeight="15" x14ac:dyDescent="0.25"/>
  <cols>
    <col min="1" max="1" width="33.85546875" customWidth="1"/>
    <col min="2" max="2" width="23.42578125" customWidth="1"/>
  </cols>
  <sheetData>
    <row r="1" spans="1:2" ht="18.75" x14ac:dyDescent="0.3">
      <c r="A1" s="69" t="s">
        <v>240</v>
      </c>
    </row>
    <row r="2" spans="1:2" x14ac:dyDescent="0.25">
      <c r="A2" s="51" t="s">
        <v>222</v>
      </c>
      <c r="B2" s="86"/>
    </row>
    <row r="3" spans="1:2" x14ac:dyDescent="0.25">
      <c r="A3" s="51" t="s">
        <v>223</v>
      </c>
      <c r="B3" s="87"/>
    </row>
    <row r="4" spans="1:2" x14ac:dyDescent="0.25">
      <c r="A4" s="51" t="s">
        <v>224</v>
      </c>
      <c r="B4" s="28">
        <v>45985</v>
      </c>
    </row>
    <row r="5" spans="1:2" x14ac:dyDescent="0.25">
      <c r="A5" s="51" t="s">
        <v>299</v>
      </c>
      <c r="B5" s="27" t="s">
        <v>354</v>
      </c>
    </row>
    <row r="6" spans="1:2" x14ac:dyDescent="0.25">
      <c r="A6" s="33"/>
      <c r="B6" t="s">
        <v>298</v>
      </c>
    </row>
    <row r="7" spans="1:2" x14ac:dyDescent="0.25">
      <c r="A7" s="33"/>
    </row>
    <row r="8" spans="1:2" x14ac:dyDescent="0.25">
      <c r="A8" s="33"/>
    </row>
    <row r="9" spans="1:2" x14ac:dyDescent="0.25">
      <c r="A9" s="33"/>
    </row>
    <row r="10" spans="1:2" ht="18.75" x14ac:dyDescent="0.3">
      <c r="A10" s="69" t="s">
        <v>89</v>
      </c>
    </row>
    <row r="11" spans="1:2" x14ac:dyDescent="0.25">
      <c r="A11" s="33"/>
    </row>
    <row r="12" spans="1:2" x14ac:dyDescent="0.25">
      <c r="A12" s="33" t="s">
        <v>242</v>
      </c>
    </row>
    <row r="13" spans="1:2" x14ac:dyDescent="0.25">
      <c r="A13" s="85" t="s">
        <v>352</v>
      </c>
    </row>
    <row r="14" spans="1:2" x14ac:dyDescent="0.25">
      <c r="A14" s="33" t="s">
        <v>243</v>
      </c>
    </row>
    <row r="15" spans="1:2" x14ac:dyDescent="0.25">
      <c r="A15" s="33" t="s">
        <v>244</v>
      </c>
    </row>
    <row r="16" spans="1:2" x14ac:dyDescent="0.25">
      <c r="A16" s="33" t="s">
        <v>245</v>
      </c>
    </row>
    <row r="17" spans="1:1" x14ac:dyDescent="0.25">
      <c r="A17" s="33" t="s">
        <v>314</v>
      </c>
    </row>
    <row r="18" spans="1:1" x14ac:dyDescent="0.25">
      <c r="A18" s="33" t="s">
        <v>246</v>
      </c>
    </row>
    <row r="19" spans="1:1" x14ac:dyDescent="0.25">
      <c r="A19" s="70"/>
    </row>
    <row r="20" spans="1:1" x14ac:dyDescent="0.25">
      <c r="A20" s="70" t="s">
        <v>252</v>
      </c>
    </row>
    <row r="21" spans="1:1" x14ac:dyDescent="0.25">
      <c r="A21" s="70"/>
    </row>
    <row r="22" spans="1:1" x14ac:dyDescent="0.25">
      <c r="A22" s="33"/>
    </row>
    <row r="23" spans="1:1" ht="18.75" x14ac:dyDescent="0.3">
      <c r="A23" s="31"/>
    </row>
    <row r="32" spans="1:1" x14ac:dyDescent="0.25">
      <c r="A32" s="2"/>
    </row>
    <row r="33" spans="1:1" x14ac:dyDescent="0.25">
      <c r="A33" s="2"/>
    </row>
  </sheetData>
  <sheetProtection sheet="1" scenarios="1"/>
  <dataValidations count="1">
    <dataValidation type="list" showInputMessage="1" showErrorMessage="1" sqref="B5">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FetchHydroData">
                <anchor moveWithCells="1">
                  <from>
                    <xdr:col>0</xdr:col>
                    <xdr:colOff>2238375</xdr:colOff>
                    <xdr:row>5</xdr:row>
                    <xdr:rowOff>66675</xdr:rowOff>
                  </from>
                  <to>
                    <xdr:col>2</xdr:col>
                    <xdr:colOff>28575</xdr:colOff>
                    <xdr:row>7</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147"/>
  <sheetViews>
    <sheetView workbookViewId="0"/>
  </sheetViews>
  <sheetFormatPr defaultRowHeight="15" x14ac:dyDescent="0.25"/>
  <cols>
    <col min="1" max="1" width="10.42578125" bestFit="1" customWidth="1"/>
  </cols>
  <sheetData>
    <row r="1" spans="1:25" x14ac:dyDescent="0.25">
      <c r="A1" s="27"/>
      <c r="B1" s="27"/>
      <c r="C1" s="27"/>
      <c r="D1" s="27"/>
      <c r="E1" s="27"/>
      <c r="F1" s="27"/>
      <c r="G1" s="27"/>
      <c r="H1" s="27"/>
      <c r="I1" s="27"/>
      <c r="J1" s="27"/>
      <c r="K1" s="27"/>
      <c r="L1" s="27"/>
      <c r="M1" s="27"/>
      <c r="N1" s="27"/>
      <c r="O1" s="27"/>
      <c r="P1" s="27"/>
      <c r="Q1" s="27"/>
      <c r="R1" s="27"/>
      <c r="S1" s="27"/>
      <c r="T1" s="27"/>
      <c r="U1" s="27"/>
      <c r="V1" s="27"/>
      <c r="W1" s="27"/>
      <c r="X1" s="27"/>
      <c r="Y1" s="27"/>
    </row>
    <row r="2" spans="1:25" x14ac:dyDescent="0.25">
      <c r="A2" s="28"/>
      <c r="B2" s="27"/>
      <c r="C2" s="27"/>
      <c r="D2" s="27"/>
      <c r="E2" s="27"/>
      <c r="F2" s="27"/>
      <c r="G2" s="27"/>
      <c r="H2" s="27"/>
      <c r="I2" s="27"/>
      <c r="J2" s="27"/>
      <c r="K2" s="27"/>
      <c r="L2" s="27"/>
      <c r="M2" s="27"/>
      <c r="N2" s="27"/>
      <c r="O2" s="27"/>
      <c r="P2" s="27"/>
      <c r="Q2" s="27"/>
      <c r="R2" s="27"/>
      <c r="S2" s="27"/>
      <c r="T2" s="27"/>
      <c r="U2" s="27"/>
      <c r="V2" s="27"/>
      <c r="W2" s="27"/>
      <c r="X2" s="27"/>
      <c r="Y2" s="27"/>
    </row>
    <row r="3" spans="1:25" x14ac:dyDescent="0.25">
      <c r="A3" s="28"/>
      <c r="B3" s="27"/>
      <c r="C3" s="27"/>
      <c r="D3" s="27"/>
      <c r="E3" s="27"/>
      <c r="F3" s="27"/>
      <c r="G3" s="27"/>
      <c r="H3" s="27"/>
      <c r="I3" s="27"/>
      <c r="J3" s="27"/>
      <c r="K3" s="27"/>
      <c r="L3" s="27"/>
      <c r="M3" s="27"/>
      <c r="N3" s="27"/>
      <c r="O3" s="27"/>
      <c r="P3" s="27"/>
      <c r="Q3" s="27"/>
      <c r="R3" s="27"/>
      <c r="S3" s="27"/>
      <c r="T3" s="27"/>
      <c r="U3" s="27"/>
      <c r="V3" s="27"/>
      <c r="W3" s="27"/>
      <c r="X3" s="27"/>
      <c r="Y3" s="27"/>
    </row>
    <row r="4" spans="1:25" x14ac:dyDescent="0.25">
      <c r="A4" s="28"/>
      <c r="B4" s="27"/>
      <c r="C4" s="27"/>
      <c r="D4" s="27"/>
      <c r="E4" s="27"/>
      <c r="F4" s="27"/>
      <c r="G4" s="27"/>
      <c r="H4" s="27"/>
      <c r="I4" s="27"/>
      <c r="J4" s="27"/>
      <c r="K4" s="27"/>
      <c r="L4" s="27"/>
      <c r="M4" s="27"/>
      <c r="N4" s="27"/>
      <c r="O4" s="27"/>
      <c r="P4" s="27"/>
      <c r="Q4" s="27"/>
      <c r="R4" s="27"/>
      <c r="S4" s="27"/>
      <c r="T4" s="27"/>
      <c r="U4" s="27"/>
      <c r="V4" s="27"/>
      <c r="W4" s="27"/>
      <c r="X4" s="27"/>
      <c r="Y4" s="27"/>
    </row>
    <row r="5" spans="1:25" x14ac:dyDescent="0.25">
      <c r="A5" s="28"/>
      <c r="B5" s="27"/>
      <c r="C5" s="27"/>
      <c r="D5" s="27"/>
      <c r="E5" s="27"/>
      <c r="F5" s="27"/>
      <c r="G5" s="27"/>
      <c r="H5" s="27"/>
      <c r="I5" s="27"/>
      <c r="J5" s="27"/>
      <c r="K5" s="27"/>
      <c r="L5" s="27"/>
      <c r="M5" s="27"/>
      <c r="N5" s="27"/>
      <c r="O5" s="27"/>
      <c r="P5" s="27"/>
      <c r="Q5" s="27"/>
      <c r="R5" s="27"/>
      <c r="S5" s="27"/>
      <c r="T5" s="27"/>
      <c r="U5" s="27"/>
      <c r="V5" s="27"/>
      <c r="W5" s="27"/>
      <c r="X5" s="27"/>
      <c r="Y5" s="27"/>
    </row>
    <row r="6" spans="1:25" x14ac:dyDescent="0.25">
      <c r="A6" s="28"/>
      <c r="B6" s="27"/>
      <c r="C6" s="27"/>
      <c r="D6" s="27"/>
      <c r="E6" s="27"/>
      <c r="F6" s="27"/>
      <c r="G6" s="27"/>
      <c r="H6" s="27"/>
      <c r="I6" s="27"/>
      <c r="J6" s="27"/>
      <c r="K6" s="27"/>
      <c r="L6" s="27"/>
      <c r="M6" s="27"/>
      <c r="N6" s="27"/>
      <c r="O6" s="27"/>
      <c r="P6" s="27"/>
      <c r="Q6" s="27"/>
      <c r="R6" s="27"/>
      <c r="S6" s="27"/>
      <c r="T6" s="27"/>
      <c r="U6" s="27"/>
      <c r="V6" s="27"/>
      <c r="W6" s="27"/>
      <c r="X6" s="27"/>
      <c r="Y6" s="27"/>
    </row>
    <row r="7" spans="1:25" x14ac:dyDescent="0.25">
      <c r="A7" s="28"/>
      <c r="B7" s="27"/>
      <c r="C7" s="27"/>
      <c r="D7" s="27"/>
      <c r="E7" s="27"/>
      <c r="F7" s="27"/>
      <c r="G7" s="27"/>
      <c r="H7" s="27"/>
      <c r="I7" s="27"/>
      <c r="J7" s="27"/>
      <c r="K7" s="27"/>
      <c r="L7" s="27"/>
      <c r="M7" s="27"/>
      <c r="N7" s="27"/>
      <c r="O7" s="27"/>
      <c r="P7" s="27"/>
      <c r="Q7" s="27"/>
      <c r="R7" s="27"/>
      <c r="S7" s="27"/>
      <c r="T7" s="27"/>
      <c r="U7" s="27"/>
      <c r="V7" s="27"/>
      <c r="W7" s="27"/>
      <c r="X7" s="27"/>
      <c r="Y7" s="27"/>
    </row>
    <row r="8" spans="1:25" x14ac:dyDescent="0.25">
      <c r="A8" s="28"/>
      <c r="B8" s="27"/>
      <c r="C8" s="27"/>
      <c r="D8" s="27"/>
      <c r="E8" s="27"/>
      <c r="F8" s="27"/>
      <c r="G8" s="27"/>
      <c r="H8" s="27"/>
      <c r="I8" s="27"/>
      <c r="J8" s="27"/>
      <c r="K8" s="27"/>
      <c r="L8" s="27"/>
      <c r="M8" s="27"/>
      <c r="N8" s="27"/>
      <c r="O8" s="27"/>
      <c r="P8" s="27"/>
      <c r="Q8" s="27"/>
      <c r="R8" s="27"/>
      <c r="S8" s="27"/>
      <c r="T8" s="27"/>
      <c r="U8" s="27"/>
      <c r="V8" s="27"/>
      <c r="W8" s="27"/>
      <c r="X8" s="27"/>
      <c r="Y8" s="27"/>
    </row>
    <row r="9" spans="1:25" x14ac:dyDescent="0.25">
      <c r="A9" s="28"/>
      <c r="B9" s="27"/>
      <c r="C9" s="27"/>
      <c r="D9" s="27"/>
      <c r="E9" s="27"/>
      <c r="F9" s="27"/>
      <c r="G9" s="27"/>
      <c r="H9" s="27"/>
      <c r="I9" s="27"/>
      <c r="J9" s="27"/>
      <c r="K9" s="27"/>
      <c r="L9" s="27"/>
      <c r="M9" s="27"/>
      <c r="N9" s="27"/>
      <c r="O9" s="27"/>
      <c r="P9" s="27"/>
      <c r="Q9" s="27"/>
      <c r="R9" s="27"/>
      <c r="S9" s="27"/>
      <c r="T9" s="27"/>
      <c r="U9" s="27"/>
      <c r="V9" s="27"/>
      <c r="W9" s="27"/>
      <c r="X9" s="27"/>
      <c r="Y9" s="27"/>
    </row>
    <row r="10" spans="1:25" x14ac:dyDescent="0.25">
      <c r="A10" s="28"/>
      <c r="B10" s="27"/>
      <c r="C10" s="27"/>
      <c r="D10" s="27"/>
      <c r="E10" s="27"/>
      <c r="F10" s="27"/>
      <c r="G10" s="27"/>
      <c r="H10" s="27"/>
      <c r="I10" s="27"/>
      <c r="J10" s="27"/>
      <c r="K10" s="27"/>
      <c r="L10" s="27"/>
      <c r="M10" s="27"/>
      <c r="N10" s="27"/>
      <c r="O10" s="27"/>
      <c r="P10" s="27"/>
      <c r="Q10" s="27"/>
      <c r="R10" s="27"/>
      <c r="S10" s="27"/>
      <c r="T10" s="27"/>
      <c r="U10" s="27"/>
      <c r="V10" s="27"/>
      <c r="W10" s="27"/>
      <c r="X10" s="27"/>
      <c r="Y10" s="27"/>
    </row>
    <row r="11" spans="1:25" x14ac:dyDescent="0.25">
      <c r="A11" s="28"/>
      <c r="B11" s="27"/>
      <c r="C11" s="27"/>
      <c r="D11" s="27"/>
      <c r="E11" s="27"/>
      <c r="F11" s="27"/>
      <c r="G11" s="27"/>
      <c r="H11" s="27"/>
      <c r="I11" s="27"/>
      <c r="J11" s="27"/>
      <c r="K11" s="27"/>
      <c r="L11" s="27"/>
      <c r="M11" s="27"/>
      <c r="N11" s="27"/>
      <c r="O11" s="27"/>
      <c r="P11" s="27"/>
      <c r="Q11" s="27"/>
      <c r="R11" s="27"/>
      <c r="S11" s="27"/>
      <c r="T11" s="27"/>
      <c r="U11" s="27"/>
      <c r="V11" s="27"/>
      <c r="W11" s="27"/>
      <c r="X11" s="27"/>
      <c r="Y11" s="27"/>
    </row>
    <row r="12" spans="1:25" x14ac:dyDescent="0.25">
      <c r="A12" s="28"/>
      <c r="B12" s="27"/>
      <c r="C12" s="27"/>
      <c r="D12" s="27"/>
      <c r="E12" s="27"/>
      <c r="F12" s="27"/>
      <c r="G12" s="27"/>
      <c r="H12" s="27"/>
      <c r="I12" s="27"/>
      <c r="J12" s="27"/>
      <c r="K12" s="27"/>
      <c r="L12" s="27"/>
      <c r="M12" s="27"/>
      <c r="N12" s="27"/>
      <c r="O12" s="27"/>
      <c r="P12" s="27"/>
      <c r="Q12" s="27"/>
      <c r="R12" s="27"/>
      <c r="S12" s="27"/>
      <c r="T12" s="27"/>
      <c r="U12" s="27"/>
      <c r="V12" s="27"/>
      <c r="W12" s="27"/>
      <c r="X12" s="27"/>
      <c r="Y12" s="27"/>
    </row>
    <row r="13" spans="1:25" x14ac:dyDescent="0.25">
      <c r="A13" s="28"/>
      <c r="B13" s="27"/>
      <c r="C13" s="27"/>
      <c r="D13" s="27"/>
      <c r="E13" s="27"/>
      <c r="F13" s="27"/>
      <c r="G13" s="27"/>
      <c r="H13" s="27"/>
      <c r="I13" s="27"/>
      <c r="J13" s="27"/>
      <c r="K13" s="27"/>
      <c r="L13" s="27"/>
      <c r="M13" s="27"/>
      <c r="N13" s="27"/>
      <c r="O13" s="27"/>
      <c r="P13" s="27"/>
      <c r="Q13" s="27"/>
      <c r="R13" s="27"/>
      <c r="S13" s="27"/>
      <c r="T13" s="27"/>
      <c r="U13" s="27"/>
      <c r="V13" s="27"/>
      <c r="W13" s="27"/>
      <c r="X13" s="27"/>
      <c r="Y13" s="27"/>
    </row>
    <row r="14" spans="1:25" x14ac:dyDescent="0.25">
      <c r="A14" s="28"/>
      <c r="B14" s="27"/>
      <c r="C14" s="27"/>
      <c r="D14" s="27"/>
      <c r="E14" s="27"/>
      <c r="F14" s="27"/>
      <c r="G14" s="27"/>
      <c r="H14" s="27"/>
      <c r="I14" s="27"/>
      <c r="J14" s="27"/>
      <c r="K14" s="27"/>
      <c r="L14" s="27"/>
      <c r="M14" s="27"/>
      <c r="N14" s="27"/>
      <c r="O14" s="27"/>
      <c r="P14" s="27"/>
      <c r="Q14" s="27"/>
      <c r="R14" s="27"/>
      <c r="S14" s="27"/>
      <c r="T14" s="27"/>
      <c r="U14" s="27"/>
      <c r="V14" s="27"/>
      <c r="W14" s="27"/>
      <c r="X14" s="27"/>
      <c r="Y14" s="27"/>
    </row>
    <row r="15" spans="1:25" x14ac:dyDescent="0.25">
      <c r="A15" s="28"/>
      <c r="B15" s="27"/>
      <c r="C15" s="27"/>
      <c r="D15" s="27"/>
      <c r="E15" s="27"/>
      <c r="F15" s="27"/>
      <c r="G15" s="27"/>
      <c r="H15" s="27"/>
      <c r="I15" s="27"/>
      <c r="J15" s="27"/>
      <c r="K15" s="27"/>
      <c r="L15" s="27"/>
      <c r="M15" s="27"/>
      <c r="N15" s="27"/>
      <c r="O15" s="27"/>
      <c r="P15" s="27"/>
      <c r="Q15" s="27"/>
      <c r="R15" s="27"/>
      <c r="S15" s="27"/>
      <c r="T15" s="27"/>
      <c r="U15" s="27"/>
      <c r="V15" s="27"/>
      <c r="W15" s="27"/>
      <c r="X15" s="27"/>
      <c r="Y15" s="27"/>
    </row>
    <row r="16" spans="1:25" x14ac:dyDescent="0.25">
      <c r="A16" s="28"/>
      <c r="B16" s="27"/>
      <c r="C16" s="27"/>
      <c r="D16" s="27"/>
      <c r="E16" s="27"/>
      <c r="F16" s="27"/>
      <c r="G16" s="27"/>
      <c r="H16" s="27"/>
      <c r="I16" s="27"/>
      <c r="J16" s="27"/>
      <c r="K16" s="27"/>
      <c r="L16" s="27"/>
      <c r="M16" s="27"/>
      <c r="N16" s="27"/>
      <c r="O16" s="27"/>
      <c r="P16" s="27"/>
      <c r="Q16" s="27"/>
      <c r="R16" s="27"/>
      <c r="S16" s="27"/>
      <c r="T16" s="27"/>
      <c r="U16" s="27"/>
      <c r="V16" s="27"/>
      <c r="W16" s="27"/>
      <c r="X16" s="27"/>
      <c r="Y16" s="27"/>
    </row>
    <row r="17" spans="1:25" x14ac:dyDescent="0.25">
      <c r="A17" s="28"/>
      <c r="B17" s="27"/>
      <c r="C17" s="27"/>
      <c r="D17" s="27"/>
      <c r="E17" s="27"/>
      <c r="F17" s="27"/>
      <c r="G17" s="27"/>
      <c r="H17" s="27"/>
      <c r="I17" s="27"/>
      <c r="J17" s="27"/>
      <c r="K17" s="27"/>
      <c r="L17" s="27"/>
      <c r="M17" s="27"/>
      <c r="N17" s="27"/>
      <c r="O17" s="27"/>
      <c r="P17" s="27"/>
      <c r="Q17" s="27"/>
      <c r="R17" s="27"/>
      <c r="S17" s="27"/>
      <c r="T17" s="27"/>
      <c r="U17" s="27"/>
      <c r="V17" s="27"/>
      <c r="W17" s="27"/>
      <c r="X17" s="27"/>
      <c r="Y17" s="27"/>
    </row>
    <row r="18" spans="1:25" x14ac:dyDescent="0.25">
      <c r="A18" s="28"/>
      <c r="B18" s="27"/>
      <c r="C18" s="27"/>
      <c r="D18" s="27"/>
      <c r="E18" s="27"/>
      <c r="F18" s="27"/>
      <c r="G18" s="27"/>
      <c r="H18" s="27"/>
      <c r="I18" s="27"/>
      <c r="J18" s="27"/>
      <c r="K18" s="27"/>
      <c r="L18" s="27"/>
      <c r="M18" s="27"/>
      <c r="N18" s="27"/>
      <c r="O18" s="27"/>
      <c r="P18" s="27"/>
      <c r="Q18" s="27"/>
      <c r="R18" s="27"/>
      <c r="S18" s="27"/>
      <c r="T18" s="27"/>
      <c r="U18" s="27"/>
      <c r="V18" s="27"/>
      <c r="W18" s="27"/>
      <c r="X18" s="27"/>
      <c r="Y18" s="27"/>
    </row>
    <row r="19" spans="1:25" x14ac:dyDescent="0.25">
      <c r="A19" s="28"/>
      <c r="B19" s="27"/>
      <c r="C19" s="27"/>
      <c r="D19" s="27"/>
      <c r="E19" s="27"/>
      <c r="F19" s="27"/>
      <c r="G19" s="27"/>
      <c r="H19" s="27"/>
      <c r="I19" s="27"/>
      <c r="J19" s="27"/>
      <c r="K19" s="27"/>
      <c r="L19" s="27"/>
      <c r="M19" s="27"/>
      <c r="N19" s="27"/>
      <c r="O19" s="27"/>
      <c r="P19" s="27"/>
      <c r="Q19" s="27"/>
      <c r="R19" s="27"/>
      <c r="S19" s="27"/>
      <c r="T19" s="27"/>
      <c r="U19" s="27"/>
      <c r="V19" s="27"/>
      <c r="W19" s="27"/>
      <c r="X19" s="27"/>
      <c r="Y19" s="27"/>
    </row>
    <row r="20" spans="1:25" x14ac:dyDescent="0.25">
      <c r="A20" s="28"/>
      <c r="B20" s="27"/>
      <c r="C20" s="27"/>
      <c r="D20" s="27"/>
      <c r="E20" s="27"/>
      <c r="F20" s="27"/>
      <c r="G20" s="27"/>
      <c r="H20" s="27"/>
      <c r="I20" s="27"/>
      <c r="J20" s="27"/>
      <c r="K20" s="27"/>
      <c r="L20" s="27"/>
      <c r="M20" s="27"/>
      <c r="N20" s="27"/>
      <c r="O20" s="27"/>
      <c r="P20" s="27"/>
      <c r="Q20" s="27"/>
      <c r="R20" s="27"/>
      <c r="S20" s="27"/>
      <c r="T20" s="27"/>
      <c r="U20" s="27"/>
      <c r="V20" s="27"/>
      <c r="W20" s="27"/>
      <c r="X20" s="27"/>
      <c r="Y20" s="27"/>
    </row>
    <row r="21" spans="1:25" x14ac:dyDescent="0.25">
      <c r="A21" s="28"/>
      <c r="B21" s="27"/>
      <c r="C21" s="27"/>
      <c r="D21" s="27"/>
      <c r="E21" s="27"/>
      <c r="F21" s="27"/>
      <c r="G21" s="27"/>
      <c r="H21" s="27"/>
      <c r="I21" s="27"/>
      <c r="J21" s="27"/>
      <c r="K21" s="27"/>
      <c r="L21" s="27"/>
      <c r="M21" s="27"/>
      <c r="N21" s="27"/>
      <c r="O21" s="27"/>
      <c r="P21" s="27"/>
      <c r="Q21" s="27"/>
      <c r="R21" s="27"/>
      <c r="S21" s="27"/>
      <c r="T21" s="27"/>
      <c r="U21" s="27"/>
      <c r="V21" s="27"/>
      <c r="W21" s="27"/>
      <c r="X21" s="27"/>
      <c r="Y21" s="27"/>
    </row>
    <row r="22" spans="1:25" x14ac:dyDescent="0.25">
      <c r="A22" s="28"/>
      <c r="B22" s="27"/>
      <c r="C22" s="27"/>
      <c r="D22" s="27"/>
      <c r="E22" s="27"/>
      <c r="F22" s="27"/>
      <c r="G22" s="27"/>
      <c r="H22" s="27"/>
      <c r="I22" s="27"/>
      <c r="J22" s="27"/>
      <c r="K22" s="27"/>
      <c r="L22" s="27"/>
      <c r="M22" s="27"/>
      <c r="N22" s="27"/>
      <c r="O22" s="27"/>
      <c r="P22" s="27"/>
      <c r="Q22" s="27"/>
      <c r="R22" s="27"/>
      <c r="S22" s="27"/>
      <c r="T22" s="27"/>
      <c r="U22" s="27"/>
      <c r="V22" s="27"/>
      <c r="W22" s="27"/>
      <c r="X22" s="27"/>
      <c r="Y22" s="27"/>
    </row>
    <row r="23" spans="1:25" x14ac:dyDescent="0.25">
      <c r="A23" s="28"/>
      <c r="B23" s="27"/>
      <c r="C23" s="27"/>
      <c r="D23" s="27"/>
      <c r="E23" s="27"/>
      <c r="F23" s="27"/>
      <c r="G23" s="27"/>
      <c r="H23" s="27"/>
      <c r="I23" s="27"/>
      <c r="J23" s="27"/>
      <c r="K23" s="27"/>
      <c r="L23" s="27"/>
      <c r="M23" s="27"/>
      <c r="N23" s="27"/>
      <c r="O23" s="27"/>
      <c r="P23" s="27"/>
      <c r="Q23" s="27"/>
      <c r="R23" s="27"/>
      <c r="S23" s="27"/>
      <c r="T23" s="27"/>
      <c r="U23" s="27"/>
      <c r="V23" s="27"/>
      <c r="W23" s="27"/>
      <c r="X23" s="27"/>
      <c r="Y23" s="27"/>
    </row>
    <row r="24" spans="1:25" x14ac:dyDescent="0.25">
      <c r="A24" s="28"/>
      <c r="B24" s="27"/>
      <c r="C24" s="27"/>
      <c r="D24" s="27"/>
      <c r="E24" s="27"/>
      <c r="F24" s="27"/>
      <c r="G24" s="27"/>
      <c r="H24" s="27"/>
      <c r="I24" s="27"/>
      <c r="J24" s="27"/>
      <c r="K24" s="27"/>
      <c r="L24" s="27"/>
      <c r="M24" s="27"/>
      <c r="N24" s="27"/>
      <c r="O24" s="27"/>
      <c r="P24" s="27"/>
      <c r="Q24" s="27"/>
      <c r="R24" s="27"/>
      <c r="S24" s="27"/>
      <c r="T24" s="27"/>
      <c r="U24" s="27"/>
      <c r="V24" s="27"/>
      <c r="W24" s="27"/>
      <c r="X24" s="27"/>
      <c r="Y24" s="27"/>
    </row>
    <row r="25" spans="1:25" x14ac:dyDescent="0.25">
      <c r="A25" s="28"/>
      <c r="B25" s="27"/>
      <c r="C25" s="27"/>
      <c r="D25" s="27"/>
      <c r="E25" s="27"/>
      <c r="F25" s="27"/>
      <c r="G25" s="27"/>
      <c r="H25" s="27"/>
      <c r="I25" s="27"/>
      <c r="J25" s="27"/>
      <c r="K25" s="27"/>
      <c r="L25" s="27"/>
      <c r="M25" s="27"/>
      <c r="N25" s="27"/>
      <c r="O25" s="27"/>
      <c r="P25" s="27"/>
      <c r="Q25" s="27"/>
      <c r="R25" s="27"/>
      <c r="S25" s="27"/>
      <c r="T25" s="27"/>
      <c r="U25" s="27"/>
      <c r="V25" s="27"/>
      <c r="W25" s="27"/>
      <c r="X25" s="27"/>
      <c r="Y25" s="27"/>
    </row>
    <row r="26" spans="1:25" x14ac:dyDescent="0.25">
      <c r="A26" s="28"/>
      <c r="B26" s="27"/>
      <c r="C26" s="27"/>
      <c r="D26" s="27"/>
      <c r="E26" s="27"/>
      <c r="F26" s="27"/>
      <c r="G26" s="27"/>
      <c r="H26" s="27"/>
      <c r="I26" s="27"/>
      <c r="J26" s="27"/>
      <c r="K26" s="27"/>
      <c r="L26" s="27"/>
      <c r="M26" s="27"/>
      <c r="N26" s="27"/>
      <c r="O26" s="27"/>
      <c r="P26" s="27"/>
      <c r="Q26" s="27"/>
      <c r="R26" s="27"/>
      <c r="S26" s="27"/>
      <c r="T26" s="27"/>
      <c r="U26" s="27"/>
      <c r="V26" s="27"/>
      <c r="W26" s="27"/>
      <c r="X26" s="27"/>
      <c r="Y26" s="27"/>
    </row>
    <row r="27" spans="1:25" x14ac:dyDescent="0.25">
      <c r="A27" s="28"/>
      <c r="B27" s="27"/>
      <c r="C27" s="27"/>
      <c r="D27" s="27"/>
      <c r="E27" s="27"/>
      <c r="F27" s="27"/>
      <c r="G27" s="27"/>
      <c r="H27" s="27"/>
      <c r="I27" s="27"/>
      <c r="J27" s="27"/>
      <c r="K27" s="27"/>
      <c r="L27" s="27"/>
      <c r="M27" s="27"/>
      <c r="N27" s="27"/>
      <c r="O27" s="27"/>
      <c r="P27" s="27"/>
      <c r="Q27" s="27"/>
      <c r="R27" s="27"/>
      <c r="S27" s="27"/>
      <c r="T27" s="27"/>
      <c r="U27" s="27"/>
      <c r="V27" s="27"/>
      <c r="W27" s="27"/>
      <c r="X27" s="27"/>
      <c r="Y27" s="27"/>
    </row>
    <row r="28" spans="1:25" x14ac:dyDescent="0.25">
      <c r="A28" s="28"/>
      <c r="B28" s="27"/>
      <c r="C28" s="27"/>
      <c r="D28" s="27"/>
      <c r="E28" s="27"/>
      <c r="F28" s="27"/>
      <c r="G28" s="27"/>
      <c r="H28" s="27"/>
      <c r="I28" s="27"/>
      <c r="J28" s="27"/>
      <c r="K28" s="27"/>
      <c r="L28" s="27"/>
      <c r="M28" s="27"/>
      <c r="N28" s="27"/>
      <c r="O28" s="27"/>
      <c r="P28" s="27"/>
      <c r="Q28" s="27"/>
      <c r="R28" s="27"/>
      <c r="S28" s="27"/>
      <c r="T28" s="27"/>
      <c r="U28" s="27"/>
      <c r="V28" s="27"/>
      <c r="W28" s="27"/>
      <c r="X28" s="27"/>
      <c r="Y28" s="27"/>
    </row>
    <row r="29" spans="1:25" x14ac:dyDescent="0.25">
      <c r="A29" s="28"/>
      <c r="B29" s="27"/>
      <c r="C29" s="27"/>
      <c r="D29" s="27"/>
      <c r="E29" s="27"/>
      <c r="F29" s="27"/>
      <c r="G29" s="27"/>
      <c r="H29" s="27"/>
      <c r="I29" s="27"/>
      <c r="J29" s="27"/>
      <c r="K29" s="27"/>
      <c r="L29" s="27"/>
      <c r="M29" s="27"/>
      <c r="N29" s="27"/>
      <c r="O29" s="27"/>
      <c r="P29" s="27"/>
      <c r="Q29" s="27"/>
      <c r="R29" s="27"/>
      <c r="S29" s="27"/>
      <c r="T29" s="27"/>
      <c r="U29" s="27"/>
      <c r="V29" s="27"/>
      <c r="W29" s="27"/>
      <c r="X29" s="27"/>
      <c r="Y29" s="27"/>
    </row>
    <row r="30" spans="1:25" x14ac:dyDescent="0.25">
      <c r="A30" s="28"/>
      <c r="B30" s="27"/>
      <c r="C30" s="27"/>
      <c r="D30" s="27"/>
      <c r="E30" s="27"/>
      <c r="F30" s="27"/>
      <c r="G30" s="27"/>
      <c r="H30" s="27"/>
      <c r="I30" s="27"/>
      <c r="J30" s="27"/>
      <c r="K30" s="27"/>
      <c r="L30" s="27"/>
      <c r="M30" s="27"/>
      <c r="N30" s="27"/>
      <c r="O30" s="27"/>
      <c r="P30" s="27"/>
      <c r="Q30" s="27"/>
      <c r="R30" s="27"/>
      <c r="S30" s="27"/>
      <c r="T30" s="27"/>
      <c r="U30" s="27"/>
      <c r="V30" s="27"/>
      <c r="W30" s="27"/>
      <c r="X30" s="27"/>
      <c r="Y30" s="27"/>
    </row>
    <row r="31" spans="1:25" x14ac:dyDescent="0.25">
      <c r="A31" s="28"/>
      <c r="B31" s="27"/>
      <c r="C31" s="27"/>
      <c r="D31" s="27"/>
      <c r="E31" s="27"/>
      <c r="F31" s="27"/>
      <c r="G31" s="27"/>
      <c r="H31" s="27"/>
      <c r="I31" s="27"/>
      <c r="J31" s="27"/>
      <c r="K31" s="27"/>
      <c r="L31" s="27"/>
      <c r="M31" s="27"/>
      <c r="N31" s="27"/>
      <c r="O31" s="27"/>
      <c r="P31" s="27"/>
      <c r="Q31" s="27"/>
      <c r="R31" s="27"/>
      <c r="S31" s="27"/>
      <c r="T31" s="27"/>
      <c r="U31" s="27"/>
      <c r="V31" s="27"/>
      <c r="W31" s="27"/>
      <c r="X31" s="27"/>
      <c r="Y31" s="27"/>
    </row>
    <row r="32" spans="1:25" x14ac:dyDescent="0.25">
      <c r="A32" s="28"/>
      <c r="B32" s="27"/>
      <c r="C32" s="27"/>
      <c r="D32" s="27"/>
      <c r="E32" s="27"/>
      <c r="F32" s="27"/>
      <c r="G32" s="27"/>
      <c r="H32" s="27"/>
      <c r="I32" s="27"/>
      <c r="J32" s="27"/>
      <c r="K32" s="27"/>
      <c r="L32" s="27"/>
      <c r="M32" s="27"/>
      <c r="N32" s="27"/>
      <c r="O32" s="27"/>
      <c r="P32" s="27"/>
      <c r="Q32" s="27"/>
      <c r="R32" s="27"/>
      <c r="S32" s="27"/>
      <c r="T32" s="27"/>
      <c r="U32" s="27"/>
      <c r="V32" s="27"/>
      <c r="W32" s="27"/>
      <c r="X32" s="27"/>
      <c r="Y32" s="27"/>
    </row>
    <row r="33" spans="1:25" x14ac:dyDescent="0.25">
      <c r="A33" s="28"/>
      <c r="B33" s="27"/>
      <c r="C33" s="27"/>
      <c r="D33" s="27"/>
      <c r="E33" s="27"/>
      <c r="F33" s="27"/>
      <c r="G33" s="27"/>
      <c r="H33" s="27"/>
      <c r="I33" s="27"/>
      <c r="J33" s="27"/>
      <c r="K33" s="27"/>
      <c r="L33" s="27"/>
      <c r="M33" s="27"/>
      <c r="N33" s="27"/>
      <c r="O33" s="27"/>
      <c r="P33" s="27"/>
      <c r="Q33" s="27"/>
      <c r="R33" s="27"/>
      <c r="S33" s="27"/>
      <c r="T33" s="27"/>
      <c r="U33" s="27"/>
      <c r="V33" s="27"/>
      <c r="W33" s="27"/>
      <c r="X33" s="27"/>
      <c r="Y33" s="27"/>
    </row>
    <row r="34" spans="1:25" x14ac:dyDescent="0.25">
      <c r="A34" s="28"/>
      <c r="B34" s="27"/>
      <c r="C34" s="27"/>
      <c r="D34" s="27"/>
      <c r="E34" s="27"/>
      <c r="F34" s="27"/>
      <c r="G34" s="27"/>
      <c r="H34" s="27"/>
      <c r="I34" s="27"/>
      <c r="J34" s="27"/>
      <c r="K34" s="27"/>
      <c r="L34" s="27"/>
      <c r="M34" s="27"/>
      <c r="N34" s="27"/>
      <c r="O34" s="27"/>
      <c r="P34" s="27"/>
      <c r="Q34" s="27"/>
      <c r="R34" s="27"/>
      <c r="S34" s="27"/>
      <c r="T34" s="27"/>
      <c r="U34" s="27"/>
      <c r="V34" s="27"/>
      <c r="W34" s="27"/>
      <c r="X34" s="27"/>
      <c r="Y34" s="27"/>
    </row>
    <row r="35" spans="1:25" x14ac:dyDescent="0.25">
      <c r="A35" s="28"/>
      <c r="B35" s="27"/>
      <c r="C35" s="27"/>
      <c r="D35" s="27"/>
      <c r="E35" s="27"/>
      <c r="F35" s="27"/>
      <c r="G35" s="27"/>
      <c r="H35" s="27"/>
      <c r="I35" s="27"/>
      <c r="J35" s="27"/>
      <c r="K35" s="27"/>
      <c r="L35" s="27"/>
      <c r="M35" s="27"/>
      <c r="N35" s="27"/>
      <c r="O35" s="27"/>
      <c r="P35" s="27"/>
      <c r="Q35" s="27"/>
      <c r="R35" s="27"/>
      <c r="S35" s="27"/>
      <c r="T35" s="27"/>
      <c r="U35" s="27"/>
      <c r="V35" s="27"/>
      <c r="W35" s="27"/>
      <c r="X35" s="27"/>
      <c r="Y35" s="27"/>
    </row>
    <row r="36" spans="1:25" x14ac:dyDescent="0.25">
      <c r="A36" s="28"/>
      <c r="B36" s="27"/>
      <c r="C36" s="27"/>
      <c r="D36" s="27"/>
      <c r="E36" s="27"/>
      <c r="F36" s="27"/>
      <c r="G36" s="27"/>
      <c r="H36" s="27"/>
      <c r="I36" s="27"/>
      <c r="J36" s="27"/>
      <c r="K36" s="27"/>
      <c r="L36" s="27"/>
      <c r="M36" s="27"/>
      <c r="N36" s="27"/>
      <c r="O36" s="27"/>
      <c r="P36" s="27"/>
      <c r="Q36" s="27"/>
      <c r="R36" s="27"/>
      <c r="S36" s="27"/>
      <c r="T36" s="27"/>
      <c r="U36" s="27"/>
      <c r="V36" s="27"/>
      <c r="W36" s="27"/>
      <c r="X36" s="27"/>
      <c r="Y36" s="27"/>
    </row>
    <row r="37" spans="1:25" x14ac:dyDescent="0.25">
      <c r="A37" s="28"/>
      <c r="B37" s="27"/>
      <c r="C37" s="27"/>
      <c r="D37" s="27"/>
      <c r="E37" s="27"/>
      <c r="F37" s="27"/>
      <c r="G37" s="27"/>
      <c r="H37" s="27"/>
      <c r="I37" s="27"/>
      <c r="J37" s="27"/>
      <c r="K37" s="27"/>
      <c r="L37" s="27"/>
      <c r="M37" s="27"/>
      <c r="N37" s="27"/>
      <c r="O37" s="27"/>
      <c r="P37" s="27"/>
      <c r="Q37" s="27"/>
      <c r="R37" s="27"/>
      <c r="S37" s="27"/>
      <c r="T37" s="27"/>
      <c r="U37" s="27"/>
      <c r="V37" s="27"/>
      <c r="W37" s="27"/>
      <c r="X37" s="27"/>
      <c r="Y37" s="27"/>
    </row>
    <row r="38" spans="1:25" x14ac:dyDescent="0.25">
      <c r="A38" s="28"/>
      <c r="B38" s="27"/>
      <c r="C38" s="27"/>
      <c r="D38" s="27"/>
      <c r="E38" s="27"/>
      <c r="F38" s="27"/>
      <c r="G38" s="27"/>
      <c r="H38" s="27"/>
      <c r="I38" s="27"/>
      <c r="J38" s="27"/>
      <c r="K38" s="27"/>
      <c r="L38" s="27"/>
      <c r="M38" s="27"/>
      <c r="N38" s="27"/>
      <c r="O38" s="27"/>
      <c r="P38" s="27"/>
      <c r="Q38" s="27"/>
      <c r="R38" s="27"/>
      <c r="S38" s="27"/>
      <c r="T38" s="27"/>
      <c r="U38" s="27"/>
      <c r="V38" s="27"/>
      <c r="W38" s="27"/>
      <c r="X38" s="27"/>
      <c r="Y38" s="27"/>
    </row>
    <row r="39" spans="1:25" x14ac:dyDescent="0.25">
      <c r="A39" s="28"/>
      <c r="B39" s="27"/>
      <c r="C39" s="27"/>
      <c r="D39" s="27"/>
      <c r="E39" s="27"/>
      <c r="F39" s="27"/>
      <c r="G39" s="27"/>
      <c r="H39" s="27"/>
      <c r="I39" s="27"/>
      <c r="J39" s="27"/>
      <c r="K39" s="27"/>
      <c r="L39" s="27"/>
      <c r="M39" s="27"/>
      <c r="N39" s="27"/>
      <c r="O39" s="27"/>
      <c r="P39" s="27"/>
      <c r="Q39" s="27"/>
      <c r="R39" s="27"/>
      <c r="S39" s="27"/>
      <c r="T39" s="27"/>
      <c r="U39" s="27"/>
      <c r="V39" s="27"/>
      <c r="W39" s="27"/>
      <c r="X39" s="27"/>
      <c r="Y39" s="27"/>
    </row>
    <row r="40" spans="1:25" x14ac:dyDescent="0.25">
      <c r="A40" s="28"/>
      <c r="B40" s="27"/>
      <c r="C40" s="27"/>
      <c r="D40" s="27"/>
      <c r="E40" s="27"/>
      <c r="F40" s="27"/>
      <c r="G40" s="27"/>
      <c r="H40" s="27"/>
      <c r="I40" s="27"/>
      <c r="J40" s="27"/>
      <c r="K40" s="27"/>
      <c r="L40" s="27"/>
      <c r="M40" s="27"/>
      <c r="N40" s="27"/>
      <c r="O40" s="27"/>
      <c r="P40" s="27"/>
      <c r="Q40" s="27"/>
      <c r="R40" s="27"/>
      <c r="S40" s="27"/>
      <c r="T40" s="27"/>
      <c r="U40" s="27"/>
      <c r="V40" s="27"/>
      <c r="W40" s="27"/>
      <c r="X40" s="27"/>
      <c r="Y40" s="27"/>
    </row>
    <row r="41" spans="1:25" x14ac:dyDescent="0.25">
      <c r="A41" s="28"/>
      <c r="B41" s="27"/>
      <c r="C41" s="27"/>
      <c r="D41" s="27"/>
      <c r="E41" s="27"/>
      <c r="F41" s="27"/>
      <c r="G41" s="27"/>
      <c r="H41" s="27"/>
      <c r="I41" s="27"/>
      <c r="J41" s="27"/>
      <c r="K41" s="27"/>
      <c r="L41" s="27"/>
      <c r="M41" s="27"/>
      <c r="N41" s="27"/>
      <c r="O41" s="27"/>
      <c r="P41" s="27"/>
      <c r="Q41" s="27"/>
      <c r="R41" s="27"/>
      <c r="S41" s="27"/>
      <c r="T41" s="27"/>
      <c r="U41" s="27"/>
      <c r="V41" s="27"/>
      <c r="W41" s="27"/>
      <c r="X41" s="27"/>
      <c r="Y41" s="27"/>
    </row>
    <row r="42" spans="1:25" x14ac:dyDescent="0.25">
      <c r="A42" s="28"/>
      <c r="B42" s="27"/>
      <c r="C42" s="27"/>
      <c r="D42" s="27"/>
      <c r="E42" s="27"/>
      <c r="F42" s="27"/>
      <c r="G42" s="27"/>
      <c r="H42" s="27"/>
      <c r="I42" s="27"/>
      <c r="J42" s="27"/>
      <c r="K42" s="27"/>
      <c r="L42" s="27"/>
      <c r="M42" s="27"/>
      <c r="N42" s="27"/>
      <c r="O42" s="27"/>
      <c r="P42" s="27"/>
      <c r="Q42" s="27"/>
      <c r="R42" s="27"/>
      <c r="S42" s="27"/>
      <c r="T42" s="27"/>
      <c r="U42" s="27"/>
      <c r="V42" s="27"/>
      <c r="W42" s="27"/>
      <c r="X42" s="27"/>
      <c r="Y42" s="27"/>
    </row>
    <row r="43" spans="1:25" x14ac:dyDescent="0.25">
      <c r="A43" s="28"/>
      <c r="B43" s="27"/>
      <c r="C43" s="27"/>
      <c r="D43" s="27"/>
      <c r="E43" s="27"/>
      <c r="F43" s="27"/>
      <c r="G43" s="27"/>
      <c r="H43" s="27"/>
      <c r="I43" s="27"/>
      <c r="J43" s="27"/>
      <c r="K43" s="27"/>
      <c r="L43" s="27"/>
      <c r="M43" s="27"/>
      <c r="N43" s="27"/>
      <c r="O43" s="27"/>
      <c r="P43" s="27"/>
      <c r="Q43" s="27"/>
      <c r="R43" s="27"/>
      <c r="S43" s="27"/>
      <c r="T43" s="27"/>
      <c r="U43" s="27"/>
      <c r="V43" s="27"/>
      <c r="W43" s="27"/>
      <c r="X43" s="27"/>
      <c r="Y43" s="27"/>
    </row>
    <row r="44" spans="1:25" x14ac:dyDescent="0.25">
      <c r="A44" s="28"/>
      <c r="B44" s="27"/>
      <c r="C44" s="27"/>
      <c r="D44" s="27"/>
      <c r="E44" s="27"/>
      <c r="F44" s="27"/>
      <c r="G44" s="27"/>
      <c r="H44" s="27"/>
      <c r="I44" s="27"/>
      <c r="J44" s="27"/>
      <c r="K44" s="27"/>
      <c r="L44" s="27"/>
      <c r="M44" s="27"/>
      <c r="N44" s="27"/>
      <c r="O44" s="27"/>
      <c r="P44" s="27"/>
      <c r="Q44" s="27"/>
      <c r="R44" s="27"/>
      <c r="S44" s="27"/>
      <c r="T44" s="27"/>
      <c r="U44" s="27"/>
      <c r="V44" s="27"/>
      <c r="W44" s="27"/>
      <c r="X44" s="27"/>
      <c r="Y44" s="27"/>
    </row>
    <row r="45" spans="1:25" x14ac:dyDescent="0.25">
      <c r="A45" s="28"/>
      <c r="B45" s="27"/>
      <c r="C45" s="27"/>
      <c r="D45" s="27"/>
      <c r="E45" s="27"/>
      <c r="F45" s="27"/>
      <c r="G45" s="27"/>
      <c r="H45" s="27"/>
      <c r="I45" s="27"/>
      <c r="J45" s="27"/>
      <c r="K45" s="27"/>
      <c r="L45" s="27"/>
      <c r="M45" s="27"/>
      <c r="N45" s="27"/>
      <c r="O45" s="27"/>
      <c r="P45" s="27"/>
      <c r="Q45" s="27"/>
      <c r="R45" s="27"/>
      <c r="S45" s="27"/>
      <c r="T45" s="27"/>
      <c r="U45" s="27"/>
      <c r="V45" s="27"/>
      <c r="W45" s="27"/>
      <c r="X45" s="27"/>
      <c r="Y45" s="27"/>
    </row>
    <row r="46" spans="1:25" x14ac:dyDescent="0.25">
      <c r="A46" s="28"/>
      <c r="B46" s="27"/>
      <c r="C46" s="27"/>
      <c r="D46" s="27"/>
      <c r="E46" s="27"/>
      <c r="F46" s="27"/>
      <c r="G46" s="27"/>
      <c r="H46" s="27"/>
      <c r="I46" s="27"/>
      <c r="J46" s="27"/>
      <c r="K46" s="27"/>
      <c r="L46" s="27"/>
      <c r="M46" s="27"/>
      <c r="N46" s="27"/>
      <c r="O46" s="27"/>
      <c r="P46" s="27"/>
      <c r="Q46" s="27"/>
      <c r="R46" s="27"/>
      <c r="S46" s="27"/>
      <c r="T46" s="27"/>
      <c r="U46" s="27"/>
      <c r="V46" s="27"/>
      <c r="W46" s="27"/>
      <c r="X46" s="27"/>
      <c r="Y46" s="27"/>
    </row>
    <row r="47" spans="1:25" x14ac:dyDescent="0.25">
      <c r="A47" s="28"/>
      <c r="B47" s="27"/>
      <c r="C47" s="27"/>
      <c r="D47" s="27"/>
      <c r="E47" s="27"/>
      <c r="F47" s="27"/>
      <c r="G47" s="27"/>
      <c r="H47" s="27"/>
      <c r="I47" s="27"/>
      <c r="J47" s="27"/>
      <c r="K47" s="27"/>
      <c r="L47" s="27"/>
      <c r="M47" s="27"/>
      <c r="N47" s="27"/>
      <c r="O47" s="27"/>
      <c r="P47" s="27"/>
      <c r="Q47" s="27"/>
      <c r="R47" s="27"/>
      <c r="S47" s="27"/>
      <c r="T47" s="27"/>
      <c r="U47" s="27"/>
      <c r="V47" s="27"/>
      <c r="W47" s="27"/>
      <c r="X47" s="27"/>
      <c r="Y47" s="27"/>
    </row>
    <row r="48" spans="1:25" x14ac:dyDescent="0.25">
      <c r="A48" s="28"/>
      <c r="B48" s="27"/>
      <c r="C48" s="27"/>
      <c r="D48" s="27"/>
      <c r="E48" s="27"/>
      <c r="F48" s="27"/>
      <c r="G48" s="27"/>
      <c r="H48" s="27"/>
      <c r="I48" s="27"/>
      <c r="J48" s="27"/>
      <c r="K48" s="27"/>
      <c r="L48" s="27"/>
      <c r="M48" s="27"/>
      <c r="N48" s="27"/>
      <c r="O48" s="27"/>
      <c r="P48" s="27"/>
      <c r="Q48" s="27"/>
      <c r="R48" s="27"/>
      <c r="S48" s="27"/>
      <c r="T48" s="27"/>
      <c r="U48" s="27"/>
      <c r="V48" s="27"/>
      <c r="W48" s="27"/>
      <c r="X48" s="27"/>
      <c r="Y48" s="27"/>
    </row>
    <row r="49" spans="1:25" x14ac:dyDescent="0.25">
      <c r="A49" s="28"/>
      <c r="B49" s="27"/>
      <c r="C49" s="27"/>
      <c r="D49" s="27"/>
      <c r="E49" s="27"/>
      <c r="F49" s="27"/>
      <c r="G49" s="27"/>
      <c r="H49" s="27"/>
      <c r="I49" s="27"/>
      <c r="J49" s="27"/>
      <c r="K49" s="27"/>
      <c r="L49" s="27"/>
      <c r="M49" s="27"/>
      <c r="N49" s="27"/>
      <c r="O49" s="27"/>
      <c r="P49" s="27"/>
      <c r="Q49" s="27"/>
      <c r="R49" s="27"/>
      <c r="S49" s="27"/>
      <c r="T49" s="27"/>
      <c r="U49" s="27"/>
      <c r="V49" s="27"/>
      <c r="W49" s="27"/>
      <c r="X49" s="27"/>
      <c r="Y49" s="27"/>
    </row>
    <row r="50" spans="1:25" x14ac:dyDescent="0.25">
      <c r="A50" s="28"/>
      <c r="B50" s="27"/>
      <c r="C50" s="27"/>
      <c r="D50" s="27"/>
      <c r="E50" s="27"/>
      <c r="F50" s="27"/>
      <c r="G50" s="27"/>
      <c r="H50" s="27"/>
      <c r="I50" s="27"/>
      <c r="J50" s="27"/>
      <c r="K50" s="27"/>
      <c r="L50" s="27"/>
      <c r="M50" s="27"/>
      <c r="N50" s="27"/>
      <c r="O50" s="27"/>
      <c r="P50" s="27"/>
      <c r="Q50" s="27"/>
      <c r="R50" s="27"/>
      <c r="S50" s="27"/>
      <c r="T50" s="27"/>
      <c r="U50" s="27"/>
      <c r="V50" s="27"/>
      <c r="W50" s="27"/>
      <c r="X50" s="27"/>
      <c r="Y50" s="27"/>
    </row>
    <row r="51" spans="1:25" x14ac:dyDescent="0.25">
      <c r="A51" s="28"/>
      <c r="B51" s="27"/>
      <c r="C51" s="27"/>
      <c r="D51" s="27"/>
      <c r="E51" s="27"/>
      <c r="F51" s="27"/>
      <c r="G51" s="27"/>
      <c r="H51" s="27"/>
      <c r="I51" s="27"/>
      <c r="J51" s="27"/>
      <c r="K51" s="27"/>
      <c r="L51" s="27"/>
      <c r="M51" s="27"/>
      <c r="N51" s="27"/>
      <c r="O51" s="27"/>
      <c r="P51" s="27"/>
      <c r="Q51" s="27"/>
      <c r="R51" s="27"/>
      <c r="S51" s="27"/>
      <c r="T51" s="27"/>
      <c r="U51" s="27"/>
      <c r="V51" s="27"/>
      <c r="W51" s="27"/>
      <c r="X51" s="27"/>
      <c r="Y51" s="27"/>
    </row>
    <row r="52" spans="1:25" x14ac:dyDescent="0.25">
      <c r="A52" s="28"/>
      <c r="B52" s="27"/>
      <c r="C52" s="27"/>
      <c r="D52" s="27"/>
      <c r="E52" s="27"/>
      <c r="F52" s="27"/>
      <c r="G52" s="27"/>
      <c r="H52" s="27"/>
      <c r="I52" s="27"/>
      <c r="J52" s="27"/>
      <c r="K52" s="27"/>
      <c r="L52" s="27"/>
      <c r="M52" s="27"/>
      <c r="N52" s="27"/>
      <c r="O52" s="27"/>
      <c r="P52" s="27"/>
      <c r="Q52" s="27"/>
      <c r="R52" s="27"/>
      <c r="S52" s="27"/>
      <c r="T52" s="27"/>
      <c r="U52" s="27"/>
      <c r="V52" s="27"/>
      <c r="W52" s="27"/>
      <c r="X52" s="27"/>
      <c r="Y52" s="27"/>
    </row>
    <row r="53" spans="1:25" x14ac:dyDescent="0.25">
      <c r="A53" s="28"/>
      <c r="B53" s="27"/>
      <c r="C53" s="27"/>
      <c r="D53" s="27"/>
      <c r="E53" s="27"/>
      <c r="F53" s="27"/>
      <c r="G53" s="27"/>
      <c r="H53" s="27"/>
      <c r="I53" s="27"/>
      <c r="J53" s="27"/>
      <c r="K53" s="27"/>
      <c r="L53" s="27"/>
      <c r="M53" s="27"/>
      <c r="N53" s="27"/>
      <c r="O53" s="27"/>
      <c r="P53" s="27"/>
      <c r="Q53" s="27"/>
      <c r="R53" s="27"/>
      <c r="S53" s="27"/>
      <c r="T53" s="27"/>
      <c r="U53" s="27"/>
      <c r="V53" s="27"/>
      <c r="W53" s="27"/>
      <c r="X53" s="27"/>
      <c r="Y53" s="27"/>
    </row>
    <row r="54" spans="1:25" x14ac:dyDescent="0.25">
      <c r="A54" s="28"/>
      <c r="B54" s="27"/>
      <c r="C54" s="27"/>
      <c r="D54" s="27"/>
      <c r="E54" s="27"/>
      <c r="F54" s="27"/>
      <c r="G54" s="27"/>
      <c r="H54" s="27"/>
      <c r="I54" s="27"/>
      <c r="J54" s="27"/>
      <c r="K54" s="27"/>
      <c r="L54" s="27"/>
      <c r="M54" s="27"/>
      <c r="N54" s="27"/>
      <c r="O54" s="27"/>
      <c r="P54" s="27"/>
      <c r="Q54" s="27"/>
      <c r="R54" s="27"/>
      <c r="S54" s="27"/>
      <c r="T54" s="27"/>
      <c r="U54" s="27"/>
      <c r="V54" s="27"/>
      <c r="W54" s="27"/>
      <c r="X54" s="27"/>
      <c r="Y54" s="27"/>
    </row>
    <row r="55" spans="1:25" x14ac:dyDescent="0.25">
      <c r="A55" s="28"/>
      <c r="B55" s="27"/>
      <c r="C55" s="27"/>
      <c r="D55" s="27"/>
      <c r="E55" s="27"/>
      <c r="F55" s="27"/>
      <c r="G55" s="27"/>
      <c r="H55" s="27"/>
      <c r="I55" s="27"/>
      <c r="J55" s="27"/>
      <c r="K55" s="27"/>
      <c r="L55" s="27"/>
      <c r="M55" s="27"/>
      <c r="N55" s="27"/>
      <c r="O55" s="27"/>
      <c r="P55" s="27"/>
      <c r="Q55" s="27"/>
      <c r="R55" s="27"/>
      <c r="S55" s="27"/>
      <c r="T55" s="27"/>
      <c r="U55" s="27"/>
      <c r="V55" s="27"/>
      <c r="W55" s="27"/>
      <c r="X55" s="27"/>
      <c r="Y55" s="27"/>
    </row>
    <row r="56" spans="1:25" x14ac:dyDescent="0.25">
      <c r="A56" s="28"/>
      <c r="B56" s="27"/>
      <c r="C56" s="27"/>
      <c r="D56" s="27"/>
      <c r="E56" s="27"/>
      <c r="F56" s="27"/>
      <c r="G56" s="27"/>
      <c r="H56" s="27"/>
      <c r="I56" s="27"/>
      <c r="J56" s="27"/>
      <c r="K56" s="27"/>
      <c r="L56" s="27"/>
      <c r="M56" s="27"/>
      <c r="N56" s="27"/>
      <c r="O56" s="27"/>
      <c r="P56" s="27"/>
      <c r="Q56" s="27"/>
      <c r="R56" s="27"/>
      <c r="S56" s="27"/>
      <c r="T56" s="27"/>
      <c r="U56" s="27"/>
      <c r="V56" s="27"/>
      <c r="W56" s="27"/>
      <c r="X56" s="27"/>
      <c r="Y56" s="27"/>
    </row>
    <row r="57" spans="1:25" x14ac:dyDescent="0.25">
      <c r="A57" s="28"/>
      <c r="B57" s="27"/>
      <c r="C57" s="27"/>
      <c r="D57" s="27"/>
      <c r="E57" s="27"/>
      <c r="F57" s="27"/>
      <c r="G57" s="27"/>
      <c r="H57" s="27"/>
      <c r="I57" s="27"/>
      <c r="J57" s="27"/>
      <c r="K57" s="27"/>
      <c r="L57" s="27"/>
      <c r="M57" s="27"/>
      <c r="N57" s="27"/>
      <c r="O57" s="27"/>
      <c r="P57" s="27"/>
      <c r="Q57" s="27"/>
      <c r="R57" s="27"/>
      <c r="S57" s="27"/>
      <c r="T57" s="27"/>
      <c r="U57" s="27"/>
      <c r="V57" s="27"/>
      <c r="W57" s="27"/>
      <c r="X57" s="27"/>
      <c r="Y57" s="27"/>
    </row>
    <row r="58" spans="1:25" x14ac:dyDescent="0.25">
      <c r="A58" s="28"/>
      <c r="B58" s="27"/>
      <c r="C58" s="27"/>
      <c r="D58" s="27"/>
      <c r="E58" s="27"/>
      <c r="F58" s="27"/>
      <c r="G58" s="27"/>
      <c r="H58" s="27"/>
      <c r="I58" s="27"/>
      <c r="J58" s="27"/>
      <c r="K58" s="27"/>
      <c r="L58" s="27"/>
      <c r="M58" s="27"/>
      <c r="N58" s="27"/>
      <c r="O58" s="27"/>
      <c r="P58" s="27"/>
      <c r="Q58" s="27"/>
      <c r="R58" s="27"/>
      <c r="S58" s="27"/>
      <c r="T58" s="27"/>
      <c r="U58" s="27"/>
      <c r="V58" s="27"/>
      <c r="W58" s="27"/>
      <c r="X58" s="27"/>
      <c r="Y58" s="27"/>
    </row>
    <row r="59" spans="1:25" x14ac:dyDescent="0.25">
      <c r="A59" s="28"/>
      <c r="B59" s="27"/>
      <c r="C59" s="27"/>
      <c r="D59" s="27"/>
      <c r="E59" s="27"/>
      <c r="F59" s="27"/>
      <c r="G59" s="27"/>
      <c r="H59" s="27"/>
      <c r="I59" s="27"/>
      <c r="J59" s="27"/>
      <c r="K59" s="27"/>
      <c r="L59" s="27"/>
      <c r="M59" s="27"/>
      <c r="N59" s="27"/>
      <c r="O59" s="27"/>
      <c r="P59" s="27"/>
      <c r="Q59" s="27"/>
      <c r="R59" s="27"/>
      <c r="S59" s="27"/>
      <c r="T59" s="27"/>
      <c r="U59" s="27"/>
      <c r="V59" s="27"/>
      <c r="W59" s="27"/>
      <c r="X59" s="27"/>
      <c r="Y59" s="27"/>
    </row>
    <row r="60" spans="1:25" x14ac:dyDescent="0.25">
      <c r="A60" s="28"/>
      <c r="B60" s="27"/>
      <c r="C60" s="27"/>
      <c r="D60" s="27"/>
      <c r="E60" s="27"/>
      <c r="F60" s="27"/>
      <c r="G60" s="27"/>
      <c r="H60" s="27"/>
      <c r="I60" s="27"/>
      <c r="J60" s="27"/>
      <c r="K60" s="27"/>
      <c r="L60" s="27"/>
      <c r="M60" s="27"/>
      <c r="N60" s="27"/>
      <c r="O60" s="27"/>
      <c r="P60" s="27"/>
      <c r="Q60" s="27"/>
      <c r="R60" s="27"/>
      <c r="S60" s="27"/>
      <c r="T60" s="27"/>
      <c r="U60" s="27"/>
      <c r="V60" s="27"/>
      <c r="W60" s="27"/>
      <c r="X60" s="27"/>
      <c r="Y60" s="27"/>
    </row>
    <row r="61" spans="1:25" x14ac:dyDescent="0.25">
      <c r="A61" s="28"/>
      <c r="B61" s="27"/>
      <c r="C61" s="27"/>
      <c r="D61" s="27"/>
      <c r="E61" s="27"/>
      <c r="F61" s="27"/>
      <c r="G61" s="27"/>
      <c r="H61" s="27"/>
      <c r="I61" s="27"/>
      <c r="J61" s="27"/>
      <c r="K61" s="27"/>
      <c r="L61" s="27"/>
      <c r="M61" s="27"/>
      <c r="N61" s="27"/>
      <c r="O61" s="27"/>
      <c r="P61" s="27"/>
      <c r="Q61" s="27"/>
      <c r="R61" s="27"/>
      <c r="S61" s="27"/>
      <c r="T61" s="27"/>
      <c r="U61" s="27"/>
      <c r="V61" s="27"/>
      <c r="W61" s="27"/>
      <c r="X61" s="27"/>
      <c r="Y61" s="27"/>
    </row>
    <row r="62" spans="1:25" x14ac:dyDescent="0.25">
      <c r="A62" s="28"/>
      <c r="B62" s="27"/>
      <c r="C62" s="27"/>
      <c r="D62" s="27"/>
      <c r="E62" s="27"/>
      <c r="F62" s="27"/>
      <c r="G62" s="27"/>
      <c r="H62" s="27"/>
      <c r="I62" s="27"/>
      <c r="J62" s="27"/>
      <c r="K62" s="27"/>
      <c r="L62" s="27"/>
      <c r="M62" s="27"/>
      <c r="N62" s="27"/>
      <c r="O62" s="27"/>
      <c r="P62" s="27"/>
      <c r="Q62" s="27"/>
      <c r="R62" s="27"/>
      <c r="S62" s="27"/>
      <c r="T62" s="27"/>
      <c r="U62" s="27"/>
      <c r="V62" s="27"/>
      <c r="W62" s="27"/>
      <c r="X62" s="27"/>
      <c r="Y62" s="27"/>
    </row>
    <row r="63" spans="1:25" x14ac:dyDescent="0.25">
      <c r="A63" s="28"/>
      <c r="B63" s="27"/>
      <c r="C63" s="27"/>
      <c r="D63" s="27"/>
      <c r="E63" s="27"/>
      <c r="F63" s="27"/>
      <c r="G63" s="27"/>
      <c r="H63" s="27"/>
      <c r="I63" s="27"/>
      <c r="J63" s="27"/>
      <c r="K63" s="27"/>
      <c r="L63" s="27"/>
      <c r="M63" s="27"/>
      <c r="N63" s="27"/>
      <c r="O63" s="27"/>
      <c r="P63" s="27"/>
      <c r="Q63" s="27"/>
      <c r="R63" s="27"/>
      <c r="S63" s="27"/>
      <c r="T63" s="27"/>
      <c r="U63" s="27"/>
      <c r="V63" s="27"/>
      <c r="W63" s="27"/>
      <c r="X63" s="27"/>
      <c r="Y63" s="27"/>
    </row>
    <row r="64" spans="1:25" x14ac:dyDescent="0.25">
      <c r="A64" s="28"/>
      <c r="B64" s="27"/>
      <c r="C64" s="27"/>
      <c r="D64" s="27"/>
      <c r="E64" s="27"/>
      <c r="F64" s="27"/>
      <c r="G64" s="27"/>
      <c r="H64" s="27"/>
      <c r="I64" s="27"/>
      <c r="J64" s="27"/>
      <c r="K64" s="27"/>
      <c r="L64" s="27"/>
      <c r="M64" s="27"/>
      <c r="N64" s="27"/>
      <c r="O64" s="27"/>
      <c r="P64" s="27"/>
      <c r="Q64" s="27"/>
      <c r="R64" s="27"/>
      <c r="S64" s="27"/>
      <c r="T64" s="27"/>
      <c r="U64" s="27"/>
      <c r="V64" s="27"/>
      <c r="W64" s="27"/>
      <c r="X64" s="27"/>
      <c r="Y64" s="27"/>
    </row>
    <row r="65" spans="1:25" x14ac:dyDescent="0.25">
      <c r="A65" s="28"/>
      <c r="B65" s="27"/>
      <c r="C65" s="27"/>
      <c r="D65" s="27"/>
      <c r="E65" s="27"/>
      <c r="F65" s="27"/>
      <c r="G65" s="27"/>
      <c r="H65" s="27"/>
      <c r="I65" s="27"/>
      <c r="J65" s="27"/>
      <c r="K65" s="27"/>
      <c r="L65" s="27"/>
      <c r="M65" s="27"/>
      <c r="N65" s="27"/>
      <c r="O65" s="27"/>
      <c r="P65" s="27"/>
      <c r="Q65" s="27"/>
      <c r="R65" s="27"/>
      <c r="S65" s="27"/>
      <c r="T65" s="27"/>
      <c r="U65" s="27"/>
      <c r="V65" s="27"/>
      <c r="W65" s="27"/>
      <c r="X65" s="27"/>
      <c r="Y65" s="27"/>
    </row>
    <row r="66" spans="1:25" x14ac:dyDescent="0.25">
      <c r="A66" s="28"/>
      <c r="B66" s="27"/>
      <c r="C66" s="27"/>
      <c r="D66" s="27"/>
      <c r="E66" s="27"/>
      <c r="F66" s="27"/>
      <c r="G66" s="27"/>
      <c r="H66" s="27"/>
      <c r="I66" s="27"/>
      <c r="J66" s="27"/>
      <c r="K66" s="27"/>
      <c r="L66" s="27"/>
      <c r="M66" s="27"/>
      <c r="N66" s="27"/>
      <c r="O66" s="27"/>
      <c r="P66" s="27"/>
      <c r="Q66" s="27"/>
      <c r="R66" s="27"/>
      <c r="S66" s="27"/>
      <c r="T66" s="27"/>
      <c r="U66" s="27"/>
      <c r="V66" s="27"/>
      <c r="W66" s="27"/>
      <c r="X66" s="27"/>
      <c r="Y66" s="27"/>
    </row>
    <row r="67" spans="1:25" x14ac:dyDescent="0.25">
      <c r="A67" s="28"/>
      <c r="B67" s="27"/>
      <c r="C67" s="27"/>
      <c r="D67" s="27"/>
      <c r="E67" s="27"/>
      <c r="F67" s="27"/>
      <c r="G67" s="27"/>
      <c r="H67" s="27"/>
      <c r="I67" s="27"/>
      <c r="J67" s="27"/>
      <c r="K67" s="27"/>
      <c r="L67" s="27"/>
      <c r="M67" s="27"/>
      <c r="N67" s="27"/>
      <c r="O67" s="27"/>
      <c r="P67" s="27"/>
      <c r="Q67" s="27"/>
      <c r="R67" s="27"/>
      <c r="S67" s="27"/>
      <c r="T67" s="27"/>
      <c r="U67" s="27"/>
      <c r="V67" s="27"/>
      <c r="W67" s="27"/>
      <c r="X67" s="27"/>
      <c r="Y67" s="27"/>
    </row>
    <row r="68" spans="1:25" x14ac:dyDescent="0.25">
      <c r="A68" s="28"/>
      <c r="B68" s="27"/>
      <c r="C68" s="27"/>
      <c r="D68" s="27"/>
      <c r="E68" s="27"/>
      <c r="F68" s="27"/>
      <c r="G68" s="27"/>
      <c r="H68" s="27"/>
      <c r="I68" s="27"/>
      <c r="J68" s="27"/>
      <c r="K68" s="27"/>
      <c r="L68" s="27"/>
      <c r="M68" s="27"/>
      <c r="N68" s="27"/>
      <c r="O68" s="27"/>
      <c r="P68" s="27"/>
      <c r="Q68" s="27"/>
      <c r="R68" s="27"/>
      <c r="S68" s="27"/>
      <c r="T68" s="27"/>
      <c r="U68" s="27"/>
      <c r="V68" s="27"/>
      <c r="W68" s="27"/>
      <c r="X68" s="27"/>
      <c r="Y68" s="27"/>
    </row>
    <row r="69" spans="1:25" x14ac:dyDescent="0.25">
      <c r="A69" s="28"/>
      <c r="B69" s="27"/>
      <c r="C69" s="27"/>
      <c r="D69" s="27"/>
      <c r="E69" s="27"/>
      <c r="F69" s="27"/>
      <c r="G69" s="27"/>
      <c r="H69" s="27"/>
      <c r="I69" s="27"/>
      <c r="J69" s="27"/>
      <c r="K69" s="27"/>
      <c r="L69" s="27"/>
      <c r="M69" s="27"/>
      <c r="N69" s="27"/>
      <c r="O69" s="27"/>
      <c r="P69" s="27"/>
      <c r="Q69" s="27"/>
      <c r="R69" s="27"/>
      <c r="S69" s="27"/>
      <c r="T69" s="27"/>
      <c r="U69" s="27"/>
      <c r="V69" s="27"/>
      <c r="W69" s="27"/>
      <c r="X69" s="27"/>
      <c r="Y69" s="27"/>
    </row>
    <row r="70" spans="1:25" x14ac:dyDescent="0.25">
      <c r="A70" s="28"/>
      <c r="B70" s="27"/>
      <c r="C70" s="27"/>
      <c r="D70" s="27"/>
      <c r="E70" s="27"/>
      <c r="F70" s="27"/>
      <c r="G70" s="27"/>
      <c r="H70" s="27"/>
      <c r="I70" s="27"/>
      <c r="J70" s="27"/>
      <c r="K70" s="27"/>
      <c r="L70" s="27"/>
      <c r="M70" s="27"/>
      <c r="N70" s="27"/>
      <c r="O70" s="27"/>
      <c r="P70" s="27"/>
      <c r="Q70" s="27"/>
      <c r="R70" s="27"/>
      <c r="S70" s="27"/>
      <c r="T70" s="27"/>
      <c r="U70" s="27"/>
      <c r="V70" s="27"/>
      <c r="W70" s="27"/>
      <c r="X70" s="27"/>
      <c r="Y70" s="27"/>
    </row>
    <row r="71" spans="1:25" x14ac:dyDescent="0.25">
      <c r="A71" s="28"/>
      <c r="B71" s="27"/>
      <c r="C71" s="27"/>
      <c r="D71" s="27"/>
      <c r="E71" s="27"/>
      <c r="F71" s="27"/>
      <c r="G71" s="27"/>
      <c r="H71" s="27"/>
      <c r="I71" s="27"/>
      <c r="J71" s="27"/>
      <c r="K71" s="27"/>
      <c r="L71" s="27"/>
      <c r="M71" s="27"/>
      <c r="N71" s="27"/>
      <c r="O71" s="27"/>
      <c r="P71" s="27"/>
      <c r="Q71" s="27"/>
      <c r="R71" s="27"/>
      <c r="S71" s="27"/>
      <c r="T71" s="27"/>
      <c r="U71" s="27"/>
      <c r="V71" s="27"/>
      <c r="W71" s="27"/>
      <c r="X71" s="27"/>
      <c r="Y71" s="27"/>
    </row>
    <row r="72" spans="1:25" x14ac:dyDescent="0.25">
      <c r="A72" s="28"/>
      <c r="B72" s="27"/>
      <c r="C72" s="27"/>
      <c r="D72" s="27"/>
      <c r="E72" s="27"/>
      <c r="F72" s="27"/>
      <c r="G72" s="27"/>
      <c r="H72" s="27"/>
      <c r="I72" s="27"/>
      <c r="J72" s="27"/>
      <c r="K72" s="27"/>
      <c r="L72" s="27"/>
      <c r="M72" s="27"/>
      <c r="N72" s="27"/>
      <c r="O72" s="27"/>
      <c r="P72" s="27"/>
      <c r="Q72" s="27"/>
      <c r="R72" s="27"/>
      <c r="S72" s="27"/>
      <c r="T72" s="27"/>
      <c r="U72" s="27"/>
      <c r="V72" s="27"/>
      <c r="W72" s="27"/>
      <c r="X72" s="27"/>
      <c r="Y72" s="27"/>
    </row>
    <row r="73" spans="1:25" x14ac:dyDescent="0.25">
      <c r="A73" s="28"/>
      <c r="B73" s="27"/>
      <c r="C73" s="27"/>
      <c r="D73" s="27"/>
      <c r="E73" s="27"/>
      <c r="F73" s="27"/>
      <c r="G73" s="27"/>
      <c r="H73" s="27"/>
      <c r="I73" s="27"/>
      <c r="J73" s="27"/>
      <c r="K73" s="27"/>
      <c r="L73" s="27"/>
      <c r="M73" s="27"/>
      <c r="N73" s="27"/>
      <c r="O73" s="27"/>
      <c r="P73" s="27"/>
      <c r="Q73" s="27"/>
      <c r="R73" s="27"/>
      <c r="S73" s="27"/>
      <c r="T73" s="27"/>
      <c r="U73" s="27"/>
      <c r="V73" s="27"/>
      <c r="W73" s="27"/>
      <c r="X73" s="27"/>
      <c r="Y73" s="27"/>
    </row>
    <row r="74" spans="1:25" x14ac:dyDescent="0.25">
      <c r="A74" s="28"/>
      <c r="B74" s="27"/>
      <c r="C74" s="27"/>
      <c r="D74" s="27"/>
      <c r="E74" s="27"/>
      <c r="F74" s="27"/>
      <c r="G74" s="27"/>
      <c r="H74" s="27"/>
      <c r="I74" s="27"/>
      <c r="J74" s="27"/>
      <c r="K74" s="27"/>
      <c r="L74" s="27"/>
      <c r="M74" s="27"/>
      <c r="N74" s="27"/>
      <c r="O74" s="27"/>
      <c r="P74" s="27"/>
      <c r="Q74" s="27"/>
      <c r="R74" s="27"/>
      <c r="S74" s="27"/>
      <c r="T74" s="27"/>
      <c r="U74" s="27"/>
      <c r="V74" s="27"/>
      <c r="W74" s="27"/>
      <c r="X74" s="27"/>
      <c r="Y74" s="27"/>
    </row>
    <row r="75" spans="1:25" x14ac:dyDescent="0.25">
      <c r="A75" s="28"/>
      <c r="B75" s="27"/>
      <c r="C75" s="27"/>
      <c r="D75" s="27"/>
      <c r="E75" s="27"/>
      <c r="F75" s="27"/>
      <c r="G75" s="27"/>
      <c r="H75" s="27"/>
      <c r="I75" s="27"/>
      <c r="J75" s="27"/>
      <c r="K75" s="27"/>
      <c r="L75" s="27"/>
      <c r="M75" s="27"/>
      <c r="N75" s="27"/>
      <c r="O75" s="27"/>
      <c r="P75" s="27"/>
      <c r="Q75" s="27"/>
      <c r="R75" s="27"/>
      <c r="S75" s="27"/>
      <c r="T75" s="27"/>
      <c r="U75" s="27"/>
      <c r="V75" s="27"/>
      <c r="W75" s="27"/>
      <c r="X75" s="27"/>
      <c r="Y75" s="27"/>
    </row>
    <row r="76" spans="1:25" x14ac:dyDescent="0.25">
      <c r="A76" s="28"/>
      <c r="B76" s="27"/>
      <c r="C76" s="27"/>
      <c r="D76" s="27"/>
      <c r="E76" s="27"/>
      <c r="F76" s="27"/>
      <c r="G76" s="27"/>
      <c r="H76" s="27"/>
      <c r="I76" s="27"/>
      <c r="J76" s="27"/>
      <c r="K76" s="27"/>
      <c r="L76" s="27"/>
      <c r="M76" s="27"/>
      <c r="N76" s="27"/>
      <c r="O76" s="27"/>
      <c r="P76" s="27"/>
      <c r="Q76" s="27"/>
      <c r="R76" s="27"/>
      <c r="S76" s="27"/>
      <c r="T76" s="27"/>
      <c r="U76" s="27"/>
      <c r="V76" s="27"/>
      <c r="W76" s="27"/>
      <c r="X76" s="27"/>
      <c r="Y76" s="27"/>
    </row>
    <row r="77" spans="1:25" x14ac:dyDescent="0.25">
      <c r="A77" s="28"/>
      <c r="B77" s="27"/>
      <c r="C77" s="27"/>
      <c r="D77" s="27"/>
      <c r="E77" s="27"/>
      <c r="F77" s="27"/>
      <c r="G77" s="27"/>
      <c r="H77" s="27"/>
      <c r="I77" s="27"/>
      <c r="J77" s="27"/>
      <c r="K77" s="27"/>
      <c r="L77" s="27"/>
      <c r="M77" s="27"/>
      <c r="N77" s="27"/>
      <c r="O77" s="27"/>
      <c r="P77" s="27"/>
      <c r="Q77" s="27"/>
      <c r="R77" s="27"/>
      <c r="S77" s="27"/>
      <c r="T77" s="27"/>
      <c r="U77" s="27"/>
      <c r="V77" s="27"/>
      <c r="W77" s="27"/>
      <c r="X77" s="27"/>
      <c r="Y77" s="27"/>
    </row>
    <row r="78" spans="1:25" x14ac:dyDescent="0.25">
      <c r="A78" s="28"/>
      <c r="B78" s="27"/>
      <c r="C78" s="27"/>
      <c r="D78" s="27"/>
      <c r="E78" s="27"/>
      <c r="F78" s="27"/>
      <c r="G78" s="27"/>
      <c r="H78" s="27"/>
      <c r="I78" s="27"/>
      <c r="J78" s="27"/>
      <c r="K78" s="27"/>
      <c r="L78" s="27"/>
      <c r="M78" s="27"/>
      <c r="N78" s="27"/>
      <c r="O78" s="27"/>
      <c r="P78" s="27"/>
      <c r="Q78" s="27"/>
      <c r="R78" s="27"/>
      <c r="S78" s="27"/>
      <c r="T78" s="27"/>
      <c r="U78" s="27"/>
      <c r="V78" s="27"/>
      <c r="W78" s="27"/>
      <c r="X78" s="27"/>
      <c r="Y78" s="27"/>
    </row>
    <row r="79" spans="1:25" x14ac:dyDescent="0.25">
      <c r="A79" s="28"/>
      <c r="B79" s="27"/>
      <c r="C79" s="27"/>
      <c r="D79" s="27"/>
      <c r="E79" s="27"/>
      <c r="F79" s="27"/>
      <c r="G79" s="27"/>
      <c r="H79" s="27"/>
      <c r="I79" s="27"/>
      <c r="J79" s="27"/>
      <c r="K79" s="27"/>
      <c r="L79" s="27"/>
      <c r="M79" s="27"/>
      <c r="N79" s="27"/>
      <c r="O79" s="27"/>
      <c r="P79" s="27"/>
      <c r="Q79" s="27"/>
      <c r="R79" s="27"/>
      <c r="S79" s="27"/>
      <c r="T79" s="27"/>
      <c r="U79" s="27"/>
      <c r="V79" s="27"/>
      <c r="W79" s="27"/>
      <c r="X79" s="27"/>
      <c r="Y79" s="27"/>
    </row>
    <row r="80" spans="1:25" x14ac:dyDescent="0.25">
      <c r="A80" s="28"/>
      <c r="B80" s="27"/>
      <c r="C80" s="27"/>
      <c r="D80" s="27"/>
      <c r="E80" s="27"/>
      <c r="F80" s="27"/>
      <c r="G80" s="27"/>
      <c r="H80" s="27"/>
      <c r="I80" s="27"/>
      <c r="J80" s="27"/>
      <c r="K80" s="27"/>
      <c r="L80" s="27"/>
      <c r="M80" s="27"/>
      <c r="N80" s="27"/>
      <c r="O80" s="27"/>
      <c r="P80" s="27"/>
      <c r="Q80" s="27"/>
      <c r="R80" s="27"/>
      <c r="S80" s="27"/>
      <c r="T80" s="27"/>
      <c r="U80" s="27"/>
      <c r="V80" s="27"/>
      <c r="W80" s="27"/>
      <c r="X80" s="27"/>
      <c r="Y80" s="27"/>
    </row>
    <row r="81" spans="1:25" x14ac:dyDescent="0.25">
      <c r="A81" s="28"/>
      <c r="B81" s="27"/>
      <c r="C81" s="27"/>
      <c r="D81" s="27"/>
      <c r="E81" s="27"/>
      <c r="F81" s="27"/>
      <c r="G81" s="27"/>
      <c r="H81" s="27"/>
      <c r="I81" s="27"/>
      <c r="J81" s="27"/>
      <c r="K81" s="27"/>
      <c r="L81" s="27"/>
      <c r="M81" s="27"/>
      <c r="N81" s="27"/>
      <c r="O81" s="27"/>
      <c r="P81" s="27"/>
      <c r="Q81" s="27"/>
      <c r="R81" s="27"/>
      <c r="S81" s="27"/>
      <c r="T81" s="27"/>
      <c r="U81" s="27"/>
      <c r="V81" s="27"/>
      <c r="W81" s="27"/>
      <c r="X81" s="27"/>
      <c r="Y81" s="27"/>
    </row>
    <row r="82" spans="1:25" x14ac:dyDescent="0.25">
      <c r="A82" s="28"/>
      <c r="B82" s="27"/>
      <c r="C82" s="27"/>
      <c r="D82" s="27"/>
      <c r="E82" s="27"/>
      <c r="F82" s="27"/>
      <c r="G82" s="27"/>
      <c r="H82" s="27"/>
      <c r="I82" s="27"/>
      <c r="J82" s="27"/>
      <c r="K82" s="27"/>
      <c r="L82" s="27"/>
      <c r="M82" s="27"/>
      <c r="N82" s="27"/>
      <c r="O82" s="27"/>
      <c r="P82" s="27"/>
      <c r="Q82" s="27"/>
      <c r="R82" s="27"/>
      <c r="S82" s="27"/>
      <c r="T82" s="27"/>
      <c r="U82" s="27"/>
      <c r="V82" s="27"/>
      <c r="W82" s="27"/>
      <c r="X82" s="27"/>
      <c r="Y82" s="27"/>
    </row>
    <row r="83" spans="1:25" x14ac:dyDescent="0.25">
      <c r="A83" s="28"/>
      <c r="B83" s="27"/>
      <c r="C83" s="27"/>
      <c r="D83" s="27"/>
      <c r="E83" s="27"/>
      <c r="F83" s="27"/>
      <c r="G83" s="27"/>
      <c r="H83" s="27"/>
      <c r="I83" s="27"/>
      <c r="J83" s="27"/>
      <c r="K83" s="27"/>
      <c r="L83" s="27"/>
      <c r="M83" s="27"/>
      <c r="N83" s="27"/>
      <c r="O83" s="27"/>
      <c r="P83" s="27"/>
      <c r="Q83" s="27"/>
      <c r="R83" s="27"/>
      <c r="S83" s="27"/>
      <c r="T83" s="27"/>
      <c r="U83" s="27"/>
      <c r="V83" s="27"/>
      <c r="W83" s="27"/>
      <c r="X83" s="27"/>
      <c r="Y83" s="27"/>
    </row>
    <row r="84" spans="1:25" x14ac:dyDescent="0.25">
      <c r="A84" s="28"/>
      <c r="B84" s="27"/>
      <c r="C84" s="27"/>
      <c r="D84" s="27"/>
      <c r="E84" s="27"/>
      <c r="F84" s="27"/>
      <c r="G84" s="27"/>
      <c r="H84" s="27"/>
      <c r="I84" s="27"/>
      <c r="J84" s="27"/>
      <c r="K84" s="27"/>
      <c r="L84" s="27"/>
      <c r="M84" s="27"/>
      <c r="N84" s="27"/>
      <c r="O84" s="27"/>
      <c r="P84" s="27"/>
      <c r="Q84" s="27"/>
      <c r="R84" s="27"/>
      <c r="S84" s="27"/>
      <c r="T84" s="27"/>
      <c r="U84" s="27"/>
      <c r="V84" s="27"/>
      <c r="W84" s="27"/>
      <c r="X84" s="27"/>
      <c r="Y84" s="27"/>
    </row>
    <row r="85" spans="1:25" x14ac:dyDescent="0.25">
      <c r="A85" s="28"/>
      <c r="B85" s="27"/>
      <c r="C85" s="27"/>
      <c r="D85" s="27"/>
      <c r="E85" s="27"/>
      <c r="F85" s="27"/>
      <c r="G85" s="27"/>
      <c r="H85" s="27"/>
      <c r="I85" s="27"/>
      <c r="J85" s="27"/>
      <c r="K85" s="27"/>
      <c r="L85" s="27"/>
      <c r="M85" s="27"/>
      <c r="N85" s="27"/>
      <c r="O85" s="27"/>
      <c r="P85" s="27"/>
      <c r="Q85" s="27"/>
      <c r="R85" s="27"/>
      <c r="S85" s="27"/>
      <c r="T85" s="27"/>
      <c r="U85" s="27"/>
      <c r="V85" s="27"/>
      <c r="W85" s="27"/>
      <c r="X85" s="27"/>
      <c r="Y85" s="27"/>
    </row>
    <row r="86" spans="1:25" x14ac:dyDescent="0.25">
      <c r="A86" s="28"/>
      <c r="B86" s="27"/>
      <c r="C86" s="27"/>
      <c r="D86" s="27"/>
      <c r="E86" s="27"/>
      <c r="F86" s="27"/>
      <c r="G86" s="27"/>
      <c r="H86" s="27"/>
      <c r="I86" s="27"/>
      <c r="J86" s="27"/>
      <c r="K86" s="27"/>
      <c r="L86" s="27"/>
      <c r="M86" s="27"/>
      <c r="N86" s="27"/>
      <c r="O86" s="27"/>
      <c r="P86" s="27"/>
      <c r="Q86" s="27"/>
      <c r="R86" s="27"/>
      <c r="S86" s="27"/>
      <c r="T86" s="27"/>
      <c r="U86" s="27"/>
      <c r="V86" s="27"/>
      <c r="W86" s="27"/>
      <c r="X86" s="27"/>
      <c r="Y86" s="27"/>
    </row>
    <row r="87" spans="1:25" x14ac:dyDescent="0.25">
      <c r="A87" s="28"/>
      <c r="B87" s="27"/>
      <c r="C87" s="27"/>
      <c r="D87" s="27"/>
      <c r="E87" s="27"/>
      <c r="F87" s="27"/>
      <c r="G87" s="27"/>
      <c r="H87" s="27"/>
      <c r="I87" s="27"/>
      <c r="J87" s="27"/>
      <c r="K87" s="27"/>
      <c r="L87" s="27"/>
      <c r="M87" s="27"/>
      <c r="N87" s="27"/>
      <c r="O87" s="27"/>
      <c r="P87" s="27"/>
      <c r="Q87" s="27"/>
      <c r="R87" s="27"/>
      <c r="S87" s="27"/>
      <c r="T87" s="27"/>
      <c r="U87" s="27"/>
      <c r="V87" s="27"/>
      <c r="W87" s="27"/>
      <c r="X87" s="27"/>
      <c r="Y87" s="27"/>
    </row>
    <row r="88" spans="1:25" x14ac:dyDescent="0.25">
      <c r="A88" s="28"/>
      <c r="B88" s="27"/>
      <c r="C88" s="27"/>
      <c r="D88" s="27"/>
      <c r="E88" s="27"/>
      <c r="F88" s="27"/>
      <c r="G88" s="27"/>
      <c r="H88" s="27"/>
      <c r="I88" s="27"/>
      <c r="J88" s="27"/>
      <c r="K88" s="27"/>
      <c r="L88" s="27"/>
      <c r="M88" s="27"/>
      <c r="N88" s="27"/>
      <c r="O88" s="27"/>
      <c r="P88" s="27"/>
      <c r="Q88" s="27"/>
      <c r="R88" s="27"/>
      <c r="S88" s="27"/>
      <c r="T88" s="27"/>
      <c r="U88" s="27"/>
      <c r="V88" s="27"/>
      <c r="W88" s="27"/>
      <c r="X88" s="27"/>
      <c r="Y88" s="27"/>
    </row>
    <row r="89" spans="1:25" x14ac:dyDescent="0.25">
      <c r="A89" s="28"/>
      <c r="B89" s="27"/>
      <c r="C89" s="27"/>
      <c r="D89" s="27"/>
      <c r="E89" s="27"/>
      <c r="F89" s="27"/>
      <c r="G89" s="27"/>
      <c r="H89" s="27"/>
      <c r="I89" s="27"/>
      <c r="J89" s="27"/>
      <c r="K89" s="27"/>
      <c r="L89" s="27"/>
      <c r="M89" s="27"/>
      <c r="N89" s="27"/>
      <c r="O89" s="27"/>
      <c r="P89" s="27"/>
      <c r="Q89" s="27"/>
      <c r="R89" s="27"/>
      <c r="S89" s="27"/>
      <c r="T89" s="27"/>
      <c r="U89" s="27"/>
      <c r="V89" s="27"/>
      <c r="W89" s="27"/>
      <c r="X89" s="27"/>
      <c r="Y89" s="27"/>
    </row>
    <row r="90" spans="1:25" x14ac:dyDescent="0.25">
      <c r="A90" s="28"/>
      <c r="B90" s="27"/>
      <c r="C90" s="27"/>
      <c r="D90" s="27"/>
      <c r="E90" s="27"/>
      <c r="F90" s="27"/>
      <c r="G90" s="27"/>
      <c r="H90" s="27"/>
      <c r="I90" s="27"/>
      <c r="J90" s="27"/>
      <c r="K90" s="27"/>
      <c r="L90" s="27"/>
      <c r="M90" s="27"/>
      <c r="N90" s="27"/>
      <c r="O90" s="27"/>
      <c r="P90" s="27"/>
      <c r="Q90" s="27"/>
      <c r="R90" s="27"/>
      <c r="S90" s="27"/>
      <c r="T90" s="27"/>
      <c r="U90" s="27"/>
      <c r="V90" s="27"/>
      <c r="W90" s="27"/>
      <c r="X90" s="27"/>
      <c r="Y90" s="27"/>
    </row>
    <row r="91" spans="1:25" x14ac:dyDescent="0.25">
      <c r="A91" s="28"/>
      <c r="B91" s="27"/>
      <c r="C91" s="27"/>
      <c r="D91" s="27"/>
      <c r="E91" s="27"/>
      <c r="F91" s="27"/>
      <c r="G91" s="27"/>
      <c r="H91" s="27"/>
      <c r="I91" s="27"/>
      <c r="J91" s="27"/>
      <c r="K91" s="27"/>
      <c r="L91" s="27"/>
      <c r="M91" s="27"/>
      <c r="N91" s="27"/>
      <c r="O91" s="27"/>
      <c r="P91" s="27"/>
      <c r="Q91" s="27"/>
      <c r="R91" s="27"/>
      <c r="S91" s="27"/>
      <c r="T91" s="27"/>
      <c r="U91" s="27"/>
      <c r="V91" s="27"/>
      <c r="W91" s="27"/>
      <c r="X91" s="27"/>
      <c r="Y91" s="27"/>
    </row>
    <row r="92" spans="1:25" x14ac:dyDescent="0.25">
      <c r="A92" s="28"/>
      <c r="B92" s="27"/>
      <c r="C92" s="27"/>
      <c r="D92" s="27"/>
      <c r="E92" s="27"/>
      <c r="F92" s="27"/>
      <c r="G92" s="27"/>
      <c r="H92" s="27"/>
      <c r="I92" s="27"/>
      <c r="J92" s="27"/>
      <c r="K92" s="27"/>
      <c r="L92" s="27"/>
      <c r="M92" s="27"/>
      <c r="N92" s="27"/>
      <c r="O92" s="27"/>
      <c r="P92" s="27"/>
      <c r="Q92" s="27"/>
      <c r="R92" s="27"/>
      <c r="S92" s="27"/>
      <c r="T92" s="27"/>
      <c r="U92" s="27"/>
      <c r="V92" s="27"/>
      <c r="W92" s="27"/>
      <c r="X92" s="27"/>
      <c r="Y92" s="27"/>
    </row>
    <row r="93" spans="1:25" x14ac:dyDescent="0.25">
      <c r="A93" s="28"/>
      <c r="B93" s="27"/>
      <c r="C93" s="27"/>
      <c r="D93" s="27"/>
      <c r="E93" s="27"/>
      <c r="F93" s="27"/>
      <c r="G93" s="27"/>
      <c r="H93" s="27"/>
      <c r="I93" s="27"/>
      <c r="J93" s="27"/>
      <c r="K93" s="27"/>
      <c r="L93" s="27"/>
      <c r="M93" s="27"/>
      <c r="N93" s="27"/>
      <c r="O93" s="27"/>
      <c r="P93" s="27"/>
      <c r="Q93" s="27"/>
      <c r="R93" s="27"/>
      <c r="S93" s="27"/>
      <c r="T93" s="27"/>
      <c r="U93" s="27"/>
      <c r="V93" s="27"/>
      <c r="W93" s="27"/>
      <c r="X93" s="27"/>
      <c r="Y93" s="27"/>
    </row>
    <row r="94" spans="1:25" x14ac:dyDescent="0.25">
      <c r="A94" s="28"/>
      <c r="B94" s="27"/>
      <c r="C94" s="27"/>
      <c r="D94" s="27"/>
      <c r="E94" s="27"/>
      <c r="F94" s="27"/>
      <c r="G94" s="27"/>
      <c r="H94" s="27"/>
      <c r="I94" s="27"/>
      <c r="J94" s="27"/>
      <c r="K94" s="27"/>
      <c r="L94" s="27"/>
      <c r="M94" s="27"/>
      <c r="N94" s="27"/>
      <c r="O94" s="27"/>
      <c r="P94" s="27"/>
      <c r="Q94" s="27"/>
      <c r="R94" s="27"/>
      <c r="S94" s="27"/>
      <c r="T94" s="27"/>
      <c r="U94" s="27"/>
      <c r="V94" s="27"/>
      <c r="W94" s="27"/>
      <c r="X94" s="27"/>
      <c r="Y94" s="27"/>
    </row>
    <row r="95" spans="1:25" x14ac:dyDescent="0.25">
      <c r="A95" s="28"/>
      <c r="B95" s="27"/>
      <c r="C95" s="27"/>
      <c r="D95" s="27"/>
      <c r="E95" s="27"/>
      <c r="F95" s="27"/>
      <c r="G95" s="27"/>
      <c r="H95" s="27"/>
      <c r="I95" s="27"/>
      <c r="J95" s="27"/>
      <c r="K95" s="27"/>
      <c r="L95" s="27"/>
      <c r="M95" s="27"/>
      <c r="N95" s="27"/>
      <c r="O95" s="27"/>
      <c r="P95" s="27"/>
      <c r="Q95" s="27"/>
      <c r="R95" s="27"/>
      <c r="S95" s="27"/>
      <c r="T95" s="27"/>
      <c r="U95" s="27"/>
      <c r="V95" s="27"/>
      <c r="W95" s="27"/>
      <c r="X95" s="27"/>
      <c r="Y95" s="27"/>
    </row>
    <row r="96" spans="1:25" x14ac:dyDescent="0.25">
      <c r="A96" s="28"/>
      <c r="B96" s="27"/>
      <c r="C96" s="27"/>
      <c r="D96" s="27"/>
      <c r="E96" s="27"/>
      <c r="F96" s="27"/>
      <c r="G96" s="27"/>
      <c r="H96" s="27"/>
      <c r="I96" s="27"/>
      <c r="J96" s="27"/>
      <c r="K96" s="27"/>
      <c r="L96" s="27"/>
      <c r="M96" s="27"/>
      <c r="N96" s="27"/>
      <c r="O96" s="27"/>
      <c r="P96" s="27"/>
      <c r="Q96" s="27"/>
      <c r="R96" s="27"/>
      <c r="S96" s="27"/>
      <c r="T96" s="27"/>
      <c r="U96" s="27"/>
      <c r="V96" s="27"/>
      <c r="W96" s="27"/>
      <c r="X96" s="27"/>
      <c r="Y96" s="27"/>
    </row>
    <row r="97" spans="1:25" x14ac:dyDescent="0.25">
      <c r="A97" s="28"/>
      <c r="B97" s="27"/>
      <c r="C97" s="27"/>
      <c r="D97" s="27"/>
      <c r="E97" s="27"/>
      <c r="F97" s="27"/>
      <c r="G97" s="27"/>
      <c r="H97" s="27"/>
      <c r="I97" s="27"/>
      <c r="J97" s="27"/>
      <c r="K97" s="27"/>
      <c r="L97" s="27"/>
      <c r="M97" s="27"/>
      <c r="N97" s="27"/>
      <c r="O97" s="27"/>
      <c r="P97" s="27"/>
      <c r="Q97" s="27"/>
      <c r="R97" s="27"/>
      <c r="S97" s="27"/>
      <c r="T97" s="27"/>
      <c r="U97" s="27"/>
      <c r="V97" s="27"/>
      <c r="W97" s="27"/>
      <c r="X97" s="27"/>
      <c r="Y97" s="27"/>
    </row>
    <row r="98" spans="1:25" x14ac:dyDescent="0.25">
      <c r="A98" s="28"/>
      <c r="B98" s="27"/>
      <c r="C98" s="27"/>
      <c r="D98" s="27"/>
      <c r="E98" s="27"/>
      <c r="F98" s="27"/>
      <c r="G98" s="27"/>
      <c r="H98" s="27"/>
      <c r="I98" s="27"/>
      <c r="J98" s="27"/>
      <c r="K98" s="27"/>
      <c r="L98" s="27"/>
      <c r="M98" s="27"/>
      <c r="N98" s="27"/>
      <c r="O98" s="27"/>
      <c r="P98" s="27"/>
      <c r="Q98" s="27"/>
      <c r="R98" s="27"/>
      <c r="S98" s="27"/>
      <c r="T98" s="27"/>
      <c r="U98" s="27"/>
      <c r="V98" s="27"/>
      <c r="W98" s="27"/>
      <c r="X98" s="27"/>
      <c r="Y98" s="27"/>
    </row>
    <row r="99" spans="1:25" x14ac:dyDescent="0.25">
      <c r="A99" s="28"/>
      <c r="B99" s="27"/>
      <c r="C99" s="27"/>
      <c r="D99" s="27"/>
      <c r="E99" s="27"/>
      <c r="F99" s="27"/>
      <c r="G99" s="27"/>
      <c r="H99" s="27"/>
      <c r="I99" s="27"/>
      <c r="J99" s="27"/>
      <c r="K99" s="27"/>
      <c r="L99" s="27"/>
      <c r="M99" s="27"/>
      <c r="N99" s="27"/>
      <c r="O99" s="27"/>
      <c r="P99" s="27"/>
      <c r="Q99" s="27"/>
      <c r="R99" s="27"/>
      <c r="S99" s="27"/>
      <c r="T99" s="27"/>
      <c r="U99" s="27"/>
      <c r="V99" s="27"/>
      <c r="W99" s="27"/>
      <c r="X99" s="27"/>
      <c r="Y99" s="27"/>
    </row>
    <row r="100" spans="1:25" x14ac:dyDescent="0.25">
      <c r="A100" s="28"/>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row>
    <row r="101" spans="1:25" x14ac:dyDescent="0.25">
      <c r="A101" s="28"/>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row>
    <row r="102" spans="1:25" x14ac:dyDescent="0.25">
      <c r="A102" s="28"/>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row>
    <row r="103" spans="1:25" x14ac:dyDescent="0.25">
      <c r="A103" s="28"/>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row>
    <row r="104" spans="1:25" x14ac:dyDescent="0.25">
      <c r="A104" s="28"/>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row>
    <row r="105" spans="1:25" x14ac:dyDescent="0.25">
      <c r="A105" s="28"/>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row>
    <row r="106" spans="1:25" x14ac:dyDescent="0.25">
      <c r="A106" s="28"/>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row>
    <row r="107" spans="1:25" x14ac:dyDescent="0.25">
      <c r="A107" s="28"/>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row>
    <row r="108" spans="1:25" x14ac:dyDescent="0.25">
      <c r="A108" s="28"/>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row>
    <row r="109" spans="1:25" x14ac:dyDescent="0.25">
      <c r="A109" s="28"/>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row>
    <row r="110" spans="1:25" x14ac:dyDescent="0.25">
      <c r="A110" s="28"/>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row>
    <row r="111" spans="1:25" x14ac:dyDescent="0.25">
      <c r="A111" s="28"/>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row>
    <row r="112" spans="1:25" x14ac:dyDescent="0.25">
      <c r="A112" s="28"/>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row>
    <row r="113" spans="1:25" x14ac:dyDescent="0.25">
      <c r="A113" s="28"/>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row>
    <row r="114" spans="1:25" x14ac:dyDescent="0.25">
      <c r="A114" s="28"/>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row>
    <row r="115" spans="1:25" x14ac:dyDescent="0.25">
      <c r="A115" s="28"/>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row>
    <row r="116" spans="1:25" x14ac:dyDescent="0.25">
      <c r="A116" s="28"/>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row>
    <row r="117" spans="1:25" x14ac:dyDescent="0.25">
      <c r="A117" s="28"/>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row>
    <row r="118" spans="1:25" x14ac:dyDescent="0.25">
      <c r="A118" s="28"/>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row>
    <row r="119" spans="1:25" x14ac:dyDescent="0.25">
      <c r="A119" s="28"/>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row>
    <row r="120" spans="1:25" x14ac:dyDescent="0.25">
      <c r="A120" s="28"/>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row>
    <row r="121" spans="1:25" x14ac:dyDescent="0.25">
      <c r="A121" s="28"/>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row>
    <row r="122" spans="1:25" x14ac:dyDescent="0.25">
      <c r="A122" s="28"/>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row>
    <row r="123" spans="1:25" x14ac:dyDescent="0.25">
      <c r="A123" s="28"/>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row>
    <row r="124" spans="1:25" x14ac:dyDescent="0.25">
      <c r="A124" s="28"/>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row>
    <row r="125" spans="1:25" x14ac:dyDescent="0.25">
      <c r="A125" s="28"/>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row>
    <row r="126" spans="1:25" x14ac:dyDescent="0.25">
      <c r="A126" s="28"/>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row>
    <row r="127" spans="1:25" x14ac:dyDescent="0.25">
      <c r="A127" s="28"/>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row>
    <row r="128" spans="1:25" x14ac:dyDescent="0.25">
      <c r="A128" s="28"/>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row>
    <row r="129" spans="1:25" x14ac:dyDescent="0.25">
      <c r="A129" s="28"/>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row>
    <row r="130" spans="1:25" x14ac:dyDescent="0.25">
      <c r="A130" s="28"/>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row>
    <row r="131" spans="1:25" x14ac:dyDescent="0.25">
      <c r="A131" s="28"/>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row>
    <row r="132" spans="1:25" x14ac:dyDescent="0.25">
      <c r="A132" s="28"/>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row>
    <row r="133" spans="1:25" x14ac:dyDescent="0.25">
      <c r="A133" s="28"/>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row>
    <row r="134" spans="1:25" x14ac:dyDescent="0.25">
      <c r="A134" s="28"/>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row>
    <row r="135" spans="1:25" x14ac:dyDescent="0.25">
      <c r="A135" s="28"/>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row>
    <row r="136" spans="1:25" x14ac:dyDescent="0.25">
      <c r="A136" s="28"/>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row>
    <row r="137" spans="1:25" x14ac:dyDescent="0.25">
      <c r="A137" s="28"/>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row>
    <row r="138" spans="1:25" x14ac:dyDescent="0.25">
      <c r="A138" s="28"/>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row>
    <row r="139" spans="1:25" x14ac:dyDescent="0.25">
      <c r="A139" s="13"/>
    </row>
    <row r="140" spans="1:25" x14ac:dyDescent="0.25">
      <c r="A140" s="13"/>
    </row>
    <row r="141" spans="1:25" x14ac:dyDescent="0.25">
      <c r="A141" s="13"/>
    </row>
    <row r="142" spans="1:25" x14ac:dyDescent="0.25">
      <c r="A142" s="13"/>
    </row>
    <row r="143" spans="1:25" x14ac:dyDescent="0.25">
      <c r="A143" s="13"/>
    </row>
    <row r="144" spans="1:25" x14ac:dyDescent="0.25">
      <c r="A144" s="13"/>
    </row>
    <row r="145" spans="1:1" x14ac:dyDescent="0.25">
      <c r="A145" s="13"/>
    </row>
    <row r="146" spans="1:1" x14ac:dyDescent="0.25">
      <c r="A146" s="13"/>
    </row>
    <row r="147" spans="1:1" x14ac:dyDescent="0.25">
      <c r="A147" s="13"/>
    </row>
  </sheetData>
  <sheetProtection sheet="1" objects="1" scenarios="1"/>
  <sortState ref="A2:Y75">
    <sortCondition ref="A2:A7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77"/>
  <sheetViews>
    <sheetView workbookViewId="0">
      <selection activeCell="C2" sqref="C2"/>
    </sheetView>
  </sheetViews>
  <sheetFormatPr defaultRowHeight="15" x14ac:dyDescent="0.25"/>
  <cols>
    <col min="3" max="3" width="10.42578125" bestFit="1" customWidth="1"/>
    <col min="4" max="4" width="6.85546875" bestFit="1" customWidth="1"/>
    <col min="5" max="5" width="10.7109375" customWidth="1"/>
    <col min="6" max="6" width="13.7109375" customWidth="1"/>
    <col min="7" max="7" width="12.42578125" customWidth="1"/>
    <col min="8" max="8" width="10.140625" customWidth="1"/>
    <col min="9" max="9" width="10.7109375" customWidth="1"/>
    <col min="24" max="24" width="10" bestFit="1" customWidth="1"/>
  </cols>
  <sheetData>
    <row r="1" spans="1:24" ht="30" x14ac:dyDescent="0.25">
      <c r="A1" s="25" t="s">
        <v>74</v>
      </c>
      <c r="B1" s="25" t="s">
        <v>75</v>
      </c>
      <c r="C1" s="25" t="s">
        <v>16</v>
      </c>
      <c r="D1" s="25" t="s">
        <v>17</v>
      </c>
      <c r="E1" s="25" t="s">
        <v>86</v>
      </c>
      <c r="F1" s="25" t="s">
        <v>87</v>
      </c>
      <c r="G1" s="25" t="s">
        <v>88</v>
      </c>
      <c r="H1" s="25" t="s">
        <v>13</v>
      </c>
      <c r="I1" s="25"/>
      <c r="J1" s="25" t="s">
        <v>6</v>
      </c>
      <c r="K1" s="25" t="s">
        <v>7</v>
      </c>
      <c r="L1" s="25" t="s">
        <v>8</v>
      </c>
      <c r="M1" s="25" t="s">
        <v>9</v>
      </c>
      <c r="N1" s="25" t="s">
        <v>76</v>
      </c>
      <c r="O1" s="25" t="s">
        <v>77</v>
      </c>
      <c r="P1" s="25" t="s">
        <v>78</v>
      </c>
      <c r="Q1" s="25" t="s">
        <v>79</v>
      </c>
      <c r="R1" s="25" t="s">
        <v>80</v>
      </c>
      <c r="S1" s="25" t="s">
        <v>81</v>
      </c>
      <c r="T1" s="25" t="s">
        <v>82</v>
      </c>
      <c r="U1" s="25" t="s">
        <v>83</v>
      </c>
      <c r="V1" s="25" t="s">
        <v>13</v>
      </c>
      <c r="W1" s="25" t="s">
        <v>15</v>
      </c>
      <c r="X1" s="37">
        <v>0.56786000000000003</v>
      </c>
    </row>
    <row r="2" spans="1:24" x14ac:dyDescent="0.25">
      <c r="A2" s="15">
        <v>1</v>
      </c>
      <c r="B2" s="15"/>
      <c r="C2" s="28"/>
      <c r="D2" s="29"/>
      <c r="E2" s="26"/>
      <c r="F2" s="26"/>
      <c r="G2" s="26"/>
      <c r="H2" s="30"/>
      <c r="J2" s="32"/>
      <c r="K2" s="32"/>
      <c r="L2" s="32"/>
      <c r="M2" s="32"/>
      <c r="N2" s="19">
        <f>IF(L2-J2&lt;0,0,L2-J2)</f>
        <v>0</v>
      </c>
      <c r="O2" s="19">
        <f>IF(N2&gt;(J2*2),J2*2,N2)</f>
        <v>0</v>
      </c>
      <c r="P2" s="19">
        <f>K2+IF(D2="AM", N2/3*4,N2*2)</f>
        <v>0</v>
      </c>
      <c r="Q2" s="19">
        <f>K2+IF(D2="AM",O2/3*4,O2*2)</f>
        <v>0</v>
      </c>
      <c r="R2" s="19">
        <f>P2-M2</f>
        <v>0</v>
      </c>
      <c r="S2" s="19">
        <f>Q2-M2</f>
        <v>0</v>
      </c>
      <c r="T2" s="19">
        <f>IF(R2&lt;=40,R2*$X$1,0)</f>
        <v>0</v>
      </c>
      <c r="U2" s="19">
        <f>IF(R2&lt;40,0,S2*$X$1)</f>
        <v>0</v>
      </c>
      <c r="V2" s="19">
        <f>T2+U2</f>
        <v>0</v>
      </c>
      <c r="W2" s="24">
        <f>IF(ABS(ROUNDDOWN((H2-V2),2)) &gt; 0.01, ROUNDDOWN(H2-V2,2), 0)</f>
        <v>0</v>
      </c>
    </row>
    <row r="3" spans="1:24" x14ac:dyDescent="0.25">
      <c r="A3" s="15">
        <v>2</v>
      </c>
      <c r="B3" s="15"/>
      <c r="C3" s="28"/>
      <c r="D3" s="29"/>
      <c r="E3" s="26"/>
      <c r="F3" s="26"/>
      <c r="G3" s="26"/>
      <c r="H3" s="30"/>
      <c r="J3" s="32"/>
      <c r="K3" s="32"/>
      <c r="L3" s="32"/>
      <c r="M3" s="32"/>
      <c r="N3" s="19">
        <f t="shared" ref="N3:N31" si="0">IF(L3-J3&lt;0,0,L3-J3)</f>
        <v>0</v>
      </c>
      <c r="O3" s="19">
        <f t="shared" ref="O3:O31" si="1">IF(N3&gt;(J3*2),J3*2,N3)</f>
        <v>0</v>
      </c>
      <c r="P3" s="19">
        <f t="shared" ref="P3:P31" si="2">K3+IF(D3="AM", N3/3*4,N3*2)</f>
        <v>0</v>
      </c>
      <c r="Q3" s="19">
        <f t="shared" ref="Q3:Q31" si="3">K3+IF(D3="AM",O3/3*4,O3*2)</f>
        <v>0</v>
      </c>
      <c r="R3" s="19">
        <f t="shared" ref="R3:R31" si="4">P3-M3</f>
        <v>0</v>
      </c>
      <c r="S3" s="19">
        <f t="shared" ref="S3:S31" si="5">Q3-M3</f>
        <v>0</v>
      </c>
      <c r="T3" s="19">
        <f t="shared" ref="T3:T31" si="6">IF(R3&lt;=40,R3*$X$1,0)</f>
        <v>0</v>
      </c>
      <c r="U3" s="19">
        <f t="shared" ref="U3:U31" si="7">IF(R3&lt;40,0,S3*$X$1)</f>
        <v>0</v>
      </c>
      <c r="V3" s="19">
        <f t="shared" ref="V3:V31" si="8">T3+U3</f>
        <v>0</v>
      </c>
      <c r="W3" s="24">
        <f t="shared" ref="W3:W31" si="9">IF(ABS(ROUNDDOWN((H3-V3),2)) &gt; 0.01, ROUNDDOWN(H3-V3,2), 0)</f>
        <v>0</v>
      </c>
    </row>
    <row r="4" spans="1:24" x14ac:dyDescent="0.25">
      <c r="A4" s="15">
        <v>3</v>
      </c>
      <c r="B4" s="15"/>
      <c r="C4" s="28"/>
      <c r="D4" s="29"/>
      <c r="E4" s="26"/>
      <c r="F4" s="26"/>
      <c r="G4" s="26"/>
      <c r="H4" s="30"/>
      <c r="J4" s="32"/>
      <c r="K4" s="32"/>
      <c r="L4" s="32"/>
      <c r="M4" s="32"/>
      <c r="N4" s="19">
        <f t="shared" si="0"/>
        <v>0</v>
      </c>
      <c r="O4" s="19">
        <f t="shared" si="1"/>
        <v>0</v>
      </c>
      <c r="P4" s="19">
        <f t="shared" si="2"/>
        <v>0</v>
      </c>
      <c r="Q4" s="19">
        <f t="shared" si="3"/>
        <v>0</v>
      </c>
      <c r="R4" s="19">
        <f t="shared" si="4"/>
        <v>0</v>
      </c>
      <c r="S4" s="19">
        <f t="shared" si="5"/>
        <v>0</v>
      </c>
      <c r="T4" s="19">
        <f t="shared" si="6"/>
        <v>0</v>
      </c>
      <c r="U4" s="19">
        <f t="shared" si="7"/>
        <v>0</v>
      </c>
      <c r="V4" s="19">
        <f t="shared" si="8"/>
        <v>0</v>
      </c>
      <c r="W4" s="24">
        <f t="shared" si="9"/>
        <v>0</v>
      </c>
    </row>
    <row r="5" spans="1:24" x14ac:dyDescent="0.25">
      <c r="A5" s="15">
        <v>4</v>
      </c>
      <c r="B5" s="15"/>
      <c r="C5" s="28"/>
      <c r="D5" s="29"/>
      <c r="E5" s="26"/>
      <c r="F5" s="26"/>
      <c r="G5" s="26"/>
      <c r="H5" s="30"/>
      <c r="J5" s="32"/>
      <c r="K5" s="32"/>
      <c r="L5" s="32"/>
      <c r="M5" s="32"/>
      <c r="N5" s="19">
        <f t="shared" si="0"/>
        <v>0</v>
      </c>
      <c r="O5" s="19">
        <f t="shared" si="1"/>
        <v>0</v>
      </c>
      <c r="P5" s="19">
        <f t="shared" si="2"/>
        <v>0</v>
      </c>
      <c r="Q5" s="19">
        <f t="shared" si="3"/>
        <v>0</v>
      </c>
      <c r="R5" s="19">
        <f t="shared" si="4"/>
        <v>0</v>
      </c>
      <c r="S5" s="19">
        <f t="shared" si="5"/>
        <v>0</v>
      </c>
      <c r="T5" s="19">
        <f t="shared" si="6"/>
        <v>0</v>
      </c>
      <c r="U5" s="19">
        <f t="shared" si="7"/>
        <v>0</v>
      </c>
      <c r="V5" s="19">
        <f t="shared" si="8"/>
        <v>0</v>
      </c>
      <c r="W5" s="24">
        <f t="shared" si="9"/>
        <v>0</v>
      </c>
    </row>
    <row r="6" spans="1:24" x14ac:dyDescent="0.25">
      <c r="A6" s="15">
        <v>5</v>
      </c>
      <c r="B6" s="15"/>
      <c r="C6" s="28"/>
      <c r="D6" s="29"/>
      <c r="E6" s="26"/>
      <c r="F6" s="26"/>
      <c r="G6" s="26"/>
      <c r="H6" s="30"/>
      <c r="J6" s="32"/>
      <c r="K6" s="32"/>
      <c r="L6" s="32"/>
      <c r="M6" s="32"/>
      <c r="N6" s="19">
        <f t="shared" si="0"/>
        <v>0</v>
      </c>
      <c r="O6" s="19">
        <f t="shared" si="1"/>
        <v>0</v>
      </c>
      <c r="P6" s="19">
        <f t="shared" si="2"/>
        <v>0</v>
      </c>
      <c r="Q6" s="19">
        <f t="shared" si="3"/>
        <v>0</v>
      </c>
      <c r="R6" s="19">
        <f t="shared" si="4"/>
        <v>0</v>
      </c>
      <c r="S6" s="19">
        <f t="shared" si="5"/>
        <v>0</v>
      </c>
      <c r="T6" s="19">
        <f t="shared" si="6"/>
        <v>0</v>
      </c>
      <c r="U6" s="19">
        <f t="shared" si="7"/>
        <v>0</v>
      </c>
      <c r="V6" s="19">
        <f t="shared" si="8"/>
        <v>0</v>
      </c>
      <c r="W6" s="24">
        <f t="shared" si="9"/>
        <v>0</v>
      </c>
    </row>
    <row r="7" spans="1:24" x14ac:dyDescent="0.25">
      <c r="A7" s="15">
        <v>6</v>
      </c>
      <c r="B7" s="15"/>
      <c r="C7" s="28"/>
      <c r="D7" s="29"/>
      <c r="E7" s="26"/>
      <c r="F7" s="26"/>
      <c r="G7" s="26"/>
      <c r="H7" s="30"/>
      <c r="J7" s="32"/>
      <c r="K7" s="32"/>
      <c r="L7" s="32"/>
      <c r="M7" s="32"/>
      <c r="N7" s="19">
        <f t="shared" si="0"/>
        <v>0</v>
      </c>
      <c r="O7" s="19">
        <f t="shared" si="1"/>
        <v>0</v>
      </c>
      <c r="P7" s="19">
        <f t="shared" si="2"/>
        <v>0</v>
      </c>
      <c r="Q7" s="19">
        <f t="shared" si="3"/>
        <v>0</v>
      </c>
      <c r="R7" s="19">
        <f t="shared" si="4"/>
        <v>0</v>
      </c>
      <c r="S7" s="19">
        <f t="shared" si="5"/>
        <v>0</v>
      </c>
      <c r="T7" s="19">
        <f t="shared" si="6"/>
        <v>0</v>
      </c>
      <c r="U7" s="19">
        <f t="shared" si="7"/>
        <v>0</v>
      </c>
      <c r="V7" s="19">
        <f t="shared" si="8"/>
        <v>0</v>
      </c>
      <c r="W7" s="24">
        <f t="shared" si="9"/>
        <v>0</v>
      </c>
    </row>
    <row r="8" spans="1:24" x14ac:dyDescent="0.25">
      <c r="A8" s="15">
        <v>7</v>
      </c>
      <c r="B8" s="15"/>
      <c r="C8" s="28"/>
      <c r="D8" s="29"/>
      <c r="E8" s="26"/>
      <c r="F8" s="26"/>
      <c r="G8" s="26"/>
      <c r="H8" s="30"/>
      <c r="J8" s="32"/>
      <c r="K8" s="32"/>
      <c r="L8" s="32"/>
      <c r="M8" s="32"/>
      <c r="N8" s="19">
        <f t="shared" si="0"/>
        <v>0</v>
      </c>
      <c r="O8" s="19">
        <f t="shared" si="1"/>
        <v>0</v>
      </c>
      <c r="P8" s="19">
        <f t="shared" si="2"/>
        <v>0</v>
      </c>
      <c r="Q8" s="19">
        <f t="shared" si="3"/>
        <v>0</v>
      </c>
      <c r="R8" s="19">
        <f t="shared" si="4"/>
        <v>0</v>
      </c>
      <c r="S8" s="19">
        <f t="shared" si="5"/>
        <v>0</v>
      </c>
      <c r="T8" s="19">
        <f t="shared" si="6"/>
        <v>0</v>
      </c>
      <c r="U8" s="19">
        <f t="shared" si="7"/>
        <v>0</v>
      </c>
      <c r="V8" s="19">
        <f t="shared" si="8"/>
        <v>0</v>
      </c>
      <c r="W8" s="24">
        <f t="shared" si="9"/>
        <v>0</v>
      </c>
    </row>
    <row r="9" spans="1:24" x14ac:dyDescent="0.25">
      <c r="A9" s="15">
        <v>8</v>
      </c>
      <c r="B9" s="15"/>
      <c r="C9" s="28"/>
      <c r="D9" s="29"/>
      <c r="E9" s="26"/>
      <c r="F9" s="26"/>
      <c r="G9" s="26"/>
      <c r="H9" s="30"/>
      <c r="J9" s="32"/>
      <c r="K9" s="32"/>
      <c r="L9" s="32"/>
      <c r="M9" s="32"/>
      <c r="N9" s="19">
        <f t="shared" si="0"/>
        <v>0</v>
      </c>
      <c r="O9" s="19">
        <f t="shared" si="1"/>
        <v>0</v>
      </c>
      <c r="P9" s="19">
        <f t="shared" si="2"/>
        <v>0</v>
      </c>
      <c r="Q9" s="19">
        <f t="shared" si="3"/>
        <v>0</v>
      </c>
      <c r="R9" s="19">
        <f t="shared" si="4"/>
        <v>0</v>
      </c>
      <c r="S9" s="19">
        <f t="shared" si="5"/>
        <v>0</v>
      </c>
      <c r="T9" s="19">
        <f t="shared" si="6"/>
        <v>0</v>
      </c>
      <c r="U9" s="19">
        <f t="shared" si="7"/>
        <v>0</v>
      </c>
      <c r="V9" s="19">
        <f t="shared" si="8"/>
        <v>0</v>
      </c>
      <c r="W9" s="24">
        <f t="shared" si="9"/>
        <v>0</v>
      </c>
    </row>
    <row r="10" spans="1:24" x14ac:dyDescent="0.25">
      <c r="A10" s="15">
        <v>9</v>
      </c>
      <c r="B10" s="15"/>
      <c r="C10" s="28"/>
      <c r="D10" s="29"/>
      <c r="E10" s="26"/>
      <c r="F10" s="26"/>
      <c r="G10" s="26"/>
      <c r="H10" s="30"/>
      <c r="J10" s="32"/>
      <c r="K10" s="32"/>
      <c r="L10" s="32"/>
      <c r="M10" s="32"/>
      <c r="N10" s="19">
        <f t="shared" si="0"/>
        <v>0</v>
      </c>
      <c r="O10" s="19">
        <f t="shared" si="1"/>
        <v>0</v>
      </c>
      <c r="P10" s="19">
        <f t="shared" si="2"/>
        <v>0</v>
      </c>
      <c r="Q10" s="19">
        <f t="shared" si="3"/>
        <v>0</v>
      </c>
      <c r="R10" s="19">
        <f t="shared" si="4"/>
        <v>0</v>
      </c>
      <c r="S10" s="19">
        <f t="shared" si="5"/>
        <v>0</v>
      </c>
      <c r="T10" s="19">
        <f t="shared" si="6"/>
        <v>0</v>
      </c>
      <c r="U10" s="19">
        <f t="shared" si="7"/>
        <v>0</v>
      </c>
      <c r="V10" s="19">
        <f t="shared" si="8"/>
        <v>0</v>
      </c>
      <c r="W10" s="24">
        <f t="shared" si="9"/>
        <v>0</v>
      </c>
    </row>
    <row r="11" spans="1:24" x14ac:dyDescent="0.25">
      <c r="A11" s="15">
        <v>10</v>
      </c>
      <c r="B11" s="15"/>
      <c r="C11" s="28"/>
      <c r="D11" s="29"/>
      <c r="E11" s="26"/>
      <c r="F11" s="26"/>
      <c r="G11" s="26"/>
      <c r="H11" s="30"/>
      <c r="J11" s="32"/>
      <c r="K11" s="32"/>
      <c r="L11" s="32"/>
      <c r="M11" s="32"/>
      <c r="N11" s="19">
        <f t="shared" si="0"/>
        <v>0</v>
      </c>
      <c r="O11" s="19">
        <f t="shared" si="1"/>
        <v>0</v>
      </c>
      <c r="P11" s="19">
        <f t="shared" si="2"/>
        <v>0</v>
      </c>
      <c r="Q11" s="19">
        <f t="shared" si="3"/>
        <v>0</v>
      </c>
      <c r="R11" s="19">
        <f t="shared" si="4"/>
        <v>0</v>
      </c>
      <c r="S11" s="19">
        <f t="shared" si="5"/>
        <v>0</v>
      </c>
      <c r="T11" s="19">
        <f t="shared" si="6"/>
        <v>0</v>
      </c>
      <c r="U11" s="19">
        <f t="shared" si="7"/>
        <v>0</v>
      </c>
      <c r="V11" s="19">
        <f t="shared" si="8"/>
        <v>0</v>
      </c>
      <c r="W11" s="24">
        <f t="shared" si="9"/>
        <v>0</v>
      </c>
    </row>
    <row r="12" spans="1:24" x14ac:dyDescent="0.25">
      <c r="A12" s="15">
        <v>11</v>
      </c>
      <c r="B12" s="15"/>
      <c r="C12" s="28"/>
      <c r="D12" s="29"/>
      <c r="E12" s="26"/>
      <c r="F12" s="26"/>
      <c r="G12" s="26"/>
      <c r="H12" s="30"/>
      <c r="J12" s="32"/>
      <c r="K12" s="32"/>
      <c r="L12" s="32"/>
      <c r="M12" s="32"/>
      <c r="N12" s="19">
        <f t="shared" si="0"/>
        <v>0</v>
      </c>
      <c r="O12" s="19">
        <f t="shared" si="1"/>
        <v>0</v>
      </c>
      <c r="P12" s="19">
        <f t="shared" si="2"/>
        <v>0</v>
      </c>
      <c r="Q12" s="19">
        <f t="shared" si="3"/>
        <v>0</v>
      </c>
      <c r="R12" s="19">
        <f t="shared" si="4"/>
        <v>0</v>
      </c>
      <c r="S12" s="19">
        <f t="shared" si="5"/>
        <v>0</v>
      </c>
      <c r="T12" s="19">
        <f t="shared" si="6"/>
        <v>0</v>
      </c>
      <c r="U12" s="19">
        <f t="shared" si="7"/>
        <v>0</v>
      </c>
      <c r="V12" s="19">
        <f t="shared" si="8"/>
        <v>0</v>
      </c>
      <c r="W12" s="24">
        <f t="shared" si="9"/>
        <v>0</v>
      </c>
    </row>
    <row r="13" spans="1:24" x14ac:dyDescent="0.25">
      <c r="A13" s="15">
        <v>12</v>
      </c>
      <c r="B13" s="15"/>
      <c r="C13" s="28"/>
      <c r="D13" s="29"/>
      <c r="E13" s="26"/>
      <c r="F13" s="26"/>
      <c r="G13" s="26"/>
      <c r="H13" s="30"/>
      <c r="J13" s="32"/>
      <c r="K13" s="32"/>
      <c r="L13" s="32"/>
      <c r="M13" s="32"/>
      <c r="N13" s="19">
        <f t="shared" si="0"/>
        <v>0</v>
      </c>
      <c r="O13" s="19">
        <f t="shared" si="1"/>
        <v>0</v>
      </c>
      <c r="P13" s="19">
        <f t="shared" si="2"/>
        <v>0</v>
      </c>
      <c r="Q13" s="19">
        <f t="shared" si="3"/>
        <v>0</v>
      </c>
      <c r="R13" s="19">
        <f t="shared" si="4"/>
        <v>0</v>
      </c>
      <c r="S13" s="19">
        <f t="shared" si="5"/>
        <v>0</v>
      </c>
      <c r="T13" s="19">
        <f t="shared" si="6"/>
        <v>0</v>
      </c>
      <c r="U13" s="19">
        <f t="shared" si="7"/>
        <v>0</v>
      </c>
      <c r="V13" s="19">
        <f t="shared" si="8"/>
        <v>0</v>
      </c>
      <c r="W13" s="24">
        <f t="shared" si="9"/>
        <v>0</v>
      </c>
    </row>
    <row r="14" spans="1:24" x14ac:dyDescent="0.25">
      <c r="A14" s="15">
        <v>13</v>
      </c>
      <c r="B14" s="15"/>
      <c r="C14" s="28"/>
      <c r="D14" s="29"/>
      <c r="E14" s="26"/>
      <c r="F14" s="26"/>
      <c r="G14" s="26"/>
      <c r="H14" s="30"/>
      <c r="J14" s="32"/>
      <c r="K14" s="32"/>
      <c r="L14" s="32"/>
      <c r="M14" s="32"/>
      <c r="N14" s="19">
        <f t="shared" si="0"/>
        <v>0</v>
      </c>
      <c r="O14" s="19">
        <f t="shared" si="1"/>
        <v>0</v>
      </c>
      <c r="P14" s="19">
        <f t="shared" si="2"/>
        <v>0</v>
      </c>
      <c r="Q14" s="19">
        <f t="shared" si="3"/>
        <v>0</v>
      </c>
      <c r="R14" s="19">
        <f t="shared" si="4"/>
        <v>0</v>
      </c>
      <c r="S14" s="19">
        <f t="shared" si="5"/>
        <v>0</v>
      </c>
      <c r="T14" s="19">
        <f t="shared" si="6"/>
        <v>0</v>
      </c>
      <c r="U14" s="19">
        <f t="shared" si="7"/>
        <v>0</v>
      </c>
      <c r="V14" s="19">
        <f t="shared" si="8"/>
        <v>0</v>
      </c>
      <c r="W14" s="24">
        <f t="shared" si="9"/>
        <v>0</v>
      </c>
    </row>
    <row r="15" spans="1:24" x14ac:dyDescent="0.25">
      <c r="A15" s="15">
        <v>14</v>
      </c>
      <c r="B15" s="15"/>
      <c r="C15" s="28"/>
      <c r="D15" s="29"/>
      <c r="E15" s="26"/>
      <c r="F15" s="26"/>
      <c r="G15" s="26"/>
      <c r="H15" s="30"/>
      <c r="J15" s="32"/>
      <c r="K15" s="32"/>
      <c r="L15" s="32"/>
      <c r="M15" s="32"/>
      <c r="N15" s="19">
        <f t="shared" si="0"/>
        <v>0</v>
      </c>
      <c r="O15" s="19">
        <f t="shared" si="1"/>
        <v>0</v>
      </c>
      <c r="P15" s="19">
        <f t="shared" si="2"/>
        <v>0</v>
      </c>
      <c r="Q15" s="19">
        <f t="shared" si="3"/>
        <v>0</v>
      </c>
      <c r="R15" s="19">
        <f t="shared" si="4"/>
        <v>0</v>
      </c>
      <c r="S15" s="19">
        <f t="shared" si="5"/>
        <v>0</v>
      </c>
      <c r="T15" s="19">
        <f t="shared" si="6"/>
        <v>0</v>
      </c>
      <c r="U15" s="19">
        <f t="shared" si="7"/>
        <v>0</v>
      </c>
      <c r="V15" s="19">
        <f t="shared" si="8"/>
        <v>0</v>
      </c>
      <c r="W15" s="24">
        <f t="shared" si="9"/>
        <v>0</v>
      </c>
    </row>
    <row r="16" spans="1:24" x14ac:dyDescent="0.25">
      <c r="A16" s="15">
        <v>15</v>
      </c>
      <c r="B16" s="15"/>
      <c r="C16" s="28"/>
      <c r="D16" s="29"/>
      <c r="E16" s="26"/>
      <c r="F16" s="26"/>
      <c r="G16" s="26"/>
      <c r="H16" s="30"/>
      <c r="J16" s="32"/>
      <c r="K16" s="32"/>
      <c r="L16" s="32"/>
      <c r="M16" s="32"/>
      <c r="N16" s="19">
        <f t="shared" si="0"/>
        <v>0</v>
      </c>
      <c r="O16" s="19">
        <f t="shared" si="1"/>
        <v>0</v>
      </c>
      <c r="P16" s="19">
        <f t="shared" si="2"/>
        <v>0</v>
      </c>
      <c r="Q16" s="19">
        <f t="shared" si="3"/>
        <v>0</v>
      </c>
      <c r="R16" s="19">
        <f t="shared" si="4"/>
        <v>0</v>
      </c>
      <c r="S16" s="19">
        <f t="shared" si="5"/>
        <v>0</v>
      </c>
      <c r="T16" s="19">
        <f t="shared" si="6"/>
        <v>0</v>
      </c>
      <c r="U16" s="19">
        <f t="shared" si="7"/>
        <v>0</v>
      </c>
      <c r="V16" s="19">
        <f t="shared" si="8"/>
        <v>0</v>
      </c>
      <c r="W16" s="24">
        <f t="shared" si="9"/>
        <v>0</v>
      </c>
    </row>
    <row r="17" spans="1:23" x14ac:dyDescent="0.25">
      <c r="A17" s="15">
        <v>16</v>
      </c>
      <c r="B17" s="15"/>
      <c r="C17" s="28"/>
      <c r="D17" s="29"/>
      <c r="E17" s="26"/>
      <c r="F17" s="26"/>
      <c r="G17" s="26"/>
      <c r="H17" s="30"/>
      <c r="J17" s="32"/>
      <c r="K17" s="32"/>
      <c r="L17" s="32"/>
      <c r="M17" s="32"/>
      <c r="N17" s="19">
        <f t="shared" si="0"/>
        <v>0</v>
      </c>
      <c r="O17" s="19">
        <f t="shared" si="1"/>
        <v>0</v>
      </c>
      <c r="P17" s="19">
        <f t="shared" si="2"/>
        <v>0</v>
      </c>
      <c r="Q17" s="19">
        <f t="shared" si="3"/>
        <v>0</v>
      </c>
      <c r="R17" s="19">
        <f t="shared" si="4"/>
        <v>0</v>
      </c>
      <c r="S17" s="19">
        <f t="shared" si="5"/>
        <v>0</v>
      </c>
      <c r="T17" s="19">
        <f t="shared" si="6"/>
        <v>0</v>
      </c>
      <c r="U17" s="19">
        <f t="shared" si="7"/>
        <v>0</v>
      </c>
      <c r="V17" s="19">
        <f t="shared" si="8"/>
        <v>0</v>
      </c>
      <c r="W17" s="24">
        <f t="shared" si="9"/>
        <v>0</v>
      </c>
    </row>
    <row r="18" spans="1:23" x14ac:dyDescent="0.25">
      <c r="A18" s="15">
        <v>17</v>
      </c>
      <c r="B18" s="15"/>
      <c r="C18" s="28"/>
      <c r="D18" s="29"/>
      <c r="E18" s="26"/>
      <c r="F18" s="26"/>
      <c r="G18" s="26"/>
      <c r="H18" s="30"/>
      <c r="J18" s="32"/>
      <c r="K18" s="32"/>
      <c r="L18" s="32"/>
      <c r="M18" s="32"/>
      <c r="N18" s="19">
        <f t="shared" si="0"/>
        <v>0</v>
      </c>
      <c r="O18" s="19">
        <f t="shared" si="1"/>
        <v>0</v>
      </c>
      <c r="P18" s="19">
        <f t="shared" si="2"/>
        <v>0</v>
      </c>
      <c r="Q18" s="19">
        <f t="shared" si="3"/>
        <v>0</v>
      </c>
      <c r="R18" s="19">
        <f t="shared" si="4"/>
        <v>0</v>
      </c>
      <c r="S18" s="19">
        <f t="shared" si="5"/>
        <v>0</v>
      </c>
      <c r="T18" s="19">
        <f t="shared" si="6"/>
        <v>0</v>
      </c>
      <c r="U18" s="19">
        <f t="shared" si="7"/>
        <v>0</v>
      </c>
      <c r="V18" s="19">
        <f t="shared" si="8"/>
        <v>0</v>
      </c>
      <c r="W18" s="24">
        <f t="shared" si="9"/>
        <v>0</v>
      </c>
    </row>
    <row r="19" spans="1:23" x14ac:dyDescent="0.25">
      <c r="A19" s="15">
        <v>18</v>
      </c>
      <c r="B19" s="15"/>
      <c r="C19" s="28"/>
      <c r="D19" s="29"/>
      <c r="E19" s="26"/>
      <c r="F19" s="26"/>
      <c r="G19" s="26"/>
      <c r="H19" s="30"/>
      <c r="J19" s="32"/>
      <c r="K19" s="32"/>
      <c r="L19" s="32"/>
      <c r="M19" s="32"/>
      <c r="N19" s="19">
        <f t="shared" si="0"/>
        <v>0</v>
      </c>
      <c r="O19" s="19">
        <f t="shared" si="1"/>
        <v>0</v>
      </c>
      <c r="P19" s="19">
        <f t="shared" si="2"/>
        <v>0</v>
      </c>
      <c r="Q19" s="19">
        <f t="shared" si="3"/>
        <v>0</v>
      </c>
      <c r="R19" s="19">
        <f t="shared" si="4"/>
        <v>0</v>
      </c>
      <c r="S19" s="19">
        <f t="shared" si="5"/>
        <v>0</v>
      </c>
      <c r="T19" s="19">
        <f t="shared" si="6"/>
        <v>0</v>
      </c>
      <c r="U19" s="19">
        <f t="shared" si="7"/>
        <v>0</v>
      </c>
      <c r="V19" s="19">
        <f t="shared" si="8"/>
        <v>0</v>
      </c>
      <c r="W19" s="24">
        <f t="shared" si="9"/>
        <v>0</v>
      </c>
    </row>
    <row r="20" spans="1:23" x14ac:dyDescent="0.25">
      <c r="A20" s="15">
        <v>19</v>
      </c>
      <c r="B20" s="15"/>
      <c r="C20" s="28"/>
      <c r="D20" s="29"/>
      <c r="E20" s="26"/>
      <c r="F20" s="26"/>
      <c r="G20" s="26"/>
      <c r="H20" s="30"/>
      <c r="J20" s="32"/>
      <c r="K20" s="32"/>
      <c r="L20" s="32"/>
      <c r="M20" s="32"/>
      <c r="N20" s="19">
        <f t="shared" si="0"/>
        <v>0</v>
      </c>
      <c r="O20" s="19">
        <f t="shared" si="1"/>
        <v>0</v>
      </c>
      <c r="P20" s="19">
        <f t="shared" si="2"/>
        <v>0</v>
      </c>
      <c r="Q20" s="19">
        <f t="shared" si="3"/>
        <v>0</v>
      </c>
      <c r="R20" s="19">
        <f t="shared" si="4"/>
        <v>0</v>
      </c>
      <c r="S20" s="19">
        <f t="shared" si="5"/>
        <v>0</v>
      </c>
      <c r="T20" s="19">
        <f t="shared" si="6"/>
        <v>0</v>
      </c>
      <c r="U20" s="19">
        <f t="shared" si="7"/>
        <v>0</v>
      </c>
      <c r="V20" s="19">
        <f t="shared" si="8"/>
        <v>0</v>
      </c>
      <c r="W20" s="24">
        <f t="shared" si="9"/>
        <v>0</v>
      </c>
    </row>
    <row r="21" spans="1:23" x14ac:dyDescent="0.25">
      <c r="A21" s="15">
        <v>20</v>
      </c>
      <c r="B21" s="15"/>
      <c r="C21" s="28"/>
      <c r="D21" s="29"/>
      <c r="E21" s="26"/>
      <c r="F21" s="26"/>
      <c r="G21" s="26"/>
      <c r="H21" s="30"/>
      <c r="J21" s="32"/>
      <c r="K21" s="32"/>
      <c r="L21" s="32"/>
      <c r="M21" s="32"/>
      <c r="N21" s="19">
        <f t="shared" si="0"/>
        <v>0</v>
      </c>
      <c r="O21" s="19">
        <f t="shared" si="1"/>
        <v>0</v>
      </c>
      <c r="P21" s="19">
        <f t="shared" si="2"/>
        <v>0</v>
      </c>
      <c r="Q21" s="19">
        <f t="shared" si="3"/>
        <v>0</v>
      </c>
      <c r="R21" s="19">
        <f t="shared" si="4"/>
        <v>0</v>
      </c>
      <c r="S21" s="19">
        <f t="shared" si="5"/>
        <v>0</v>
      </c>
      <c r="T21" s="19">
        <f t="shared" si="6"/>
        <v>0</v>
      </c>
      <c r="U21" s="19">
        <f t="shared" si="7"/>
        <v>0</v>
      </c>
      <c r="V21" s="19">
        <f t="shared" si="8"/>
        <v>0</v>
      </c>
      <c r="W21" s="24">
        <f t="shared" si="9"/>
        <v>0</v>
      </c>
    </row>
    <row r="22" spans="1:23" x14ac:dyDescent="0.25">
      <c r="A22" s="15">
        <v>21</v>
      </c>
      <c r="B22" s="15"/>
      <c r="C22" s="28"/>
      <c r="D22" s="29"/>
      <c r="E22" s="26"/>
      <c r="F22" s="26"/>
      <c r="G22" s="26"/>
      <c r="H22" s="30"/>
      <c r="J22" s="32"/>
      <c r="K22" s="32"/>
      <c r="L22" s="32"/>
      <c r="M22" s="32"/>
      <c r="N22" s="19">
        <f t="shared" si="0"/>
        <v>0</v>
      </c>
      <c r="O22" s="19">
        <f t="shared" si="1"/>
        <v>0</v>
      </c>
      <c r="P22" s="19">
        <f t="shared" si="2"/>
        <v>0</v>
      </c>
      <c r="Q22" s="19">
        <f t="shared" si="3"/>
        <v>0</v>
      </c>
      <c r="R22" s="19">
        <f t="shared" si="4"/>
        <v>0</v>
      </c>
      <c r="S22" s="19">
        <f t="shared" si="5"/>
        <v>0</v>
      </c>
      <c r="T22" s="19">
        <f t="shared" si="6"/>
        <v>0</v>
      </c>
      <c r="U22" s="19">
        <f t="shared" si="7"/>
        <v>0</v>
      </c>
      <c r="V22" s="19">
        <f t="shared" si="8"/>
        <v>0</v>
      </c>
      <c r="W22" s="24">
        <f t="shared" si="9"/>
        <v>0</v>
      </c>
    </row>
    <row r="23" spans="1:23" x14ac:dyDescent="0.25">
      <c r="A23" s="15">
        <v>22</v>
      </c>
      <c r="B23" s="15"/>
      <c r="C23" s="28"/>
      <c r="D23" s="29"/>
      <c r="E23" s="26"/>
      <c r="F23" s="26"/>
      <c r="G23" s="26"/>
      <c r="H23" s="30"/>
      <c r="J23" s="32"/>
      <c r="K23" s="32"/>
      <c r="L23" s="32"/>
      <c r="M23" s="32"/>
      <c r="N23" s="19">
        <f t="shared" si="0"/>
        <v>0</v>
      </c>
      <c r="O23" s="19">
        <f t="shared" si="1"/>
        <v>0</v>
      </c>
      <c r="P23" s="19">
        <f t="shared" si="2"/>
        <v>0</v>
      </c>
      <c r="Q23" s="19">
        <f t="shared" si="3"/>
        <v>0</v>
      </c>
      <c r="R23" s="19">
        <f t="shared" si="4"/>
        <v>0</v>
      </c>
      <c r="S23" s="19">
        <f t="shared" si="5"/>
        <v>0</v>
      </c>
      <c r="T23" s="19">
        <f t="shared" si="6"/>
        <v>0</v>
      </c>
      <c r="U23" s="19">
        <f t="shared" si="7"/>
        <v>0</v>
      </c>
      <c r="V23" s="19">
        <f t="shared" si="8"/>
        <v>0</v>
      </c>
      <c r="W23" s="24">
        <f t="shared" si="9"/>
        <v>0</v>
      </c>
    </row>
    <row r="24" spans="1:23" x14ac:dyDescent="0.25">
      <c r="A24" s="15">
        <v>23</v>
      </c>
      <c r="B24" s="15"/>
      <c r="C24" s="28"/>
      <c r="D24" s="29"/>
      <c r="E24" s="26"/>
      <c r="F24" s="26"/>
      <c r="G24" s="26"/>
      <c r="H24" s="30"/>
      <c r="J24" s="32"/>
      <c r="K24" s="32"/>
      <c r="L24" s="32"/>
      <c r="M24" s="32"/>
      <c r="N24" s="19">
        <f t="shared" si="0"/>
        <v>0</v>
      </c>
      <c r="O24" s="19">
        <f t="shared" si="1"/>
        <v>0</v>
      </c>
      <c r="P24" s="19">
        <f t="shared" si="2"/>
        <v>0</v>
      </c>
      <c r="Q24" s="19">
        <f t="shared" si="3"/>
        <v>0</v>
      </c>
      <c r="R24" s="19">
        <f t="shared" si="4"/>
        <v>0</v>
      </c>
      <c r="S24" s="19">
        <f t="shared" si="5"/>
        <v>0</v>
      </c>
      <c r="T24" s="19">
        <f t="shared" si="6"/>
        <v>0</v>
      </c>
      <c r="U24" s="19">
        <f t="shared" si="7"/>
        <v>0</v>
      </c>
      <c r="V24" s="19">
        <f t="shared" si="8"/>
        <v>0</v>
      </c>
      <c r="W24" s="24">
        <f t="shared" si="9"/>
        <v>0</v>
      </c>
    </row>
    <row r="25" spans="1:23" x14ac:dyDescent="0.25">
      <c r="A25" s="15">
        <v>24</v>
      </c>
      <c r="B25" s="15"/>
      <c r="C25" s="28"/>
      <c r="D25" s="29"/>
      <c r="E25" s="26"/>
      <c r="F25" s="26"/>
      <c r="G25" s="26"/>
      <c r="H25" s="30"/>
      <c r="J25" s="32"/>
      <c r="K25" s="32"/>
      <c r="L25" s="32"/>
      <c r="M25" s="32"/>
      <c r="N25" s="19">
        <f t="shared" si="0"/>
        <v>0</v>
      </c>
      <c r="O25" s="19">
        <f t="shared" si="1"/>
        <v>0</v>
      </c>
      <c r="P25" s="19">
        <f t="shared" si="2"/>
        <v>0</v>
      </c>
      <c r="Q25" s="19">
        <f t="shared" si="3"/>
        <v>0</v>
      </c>
      <c r="R25" s="19">
        <f t="shared" si="4"/>
        <v>0</v>
      </c>
      <c r="S25" s="19">
        <f t="shared" si="5"/>
        <v>0</v>
      </c>
      <c r="T25" s="19">
        <f t="shared" si="6"/>
        <v>0</v>
      </c>
      <c r="U25" s="19">
        <f t="shared" si="7"/>
        <v>0</v>
      </c>
      <c r="V25" s="19">
        <f t="shared" si="8"/>
        <v>0</v>
      </c>
      <c r="W25" s="24">
        <f t="shared" si="9"/>
        <v>0</v>
      </c>
    </row>
    <row r="26" spans="1:23" x14ac:dyDescent="0.25">
      <c r="A26" s="15">
        <v>25</v>
      </c>
      <c r="B26" s="15"/>
      <c r="C26" s="28"/>
      <c r="D26" s="29"/>
      <c r="E26" s="26"/>
      <c r="F26" s="26"/>
      <c r="G26" s="26"/>
      <c r="H26" s="30"/>
      <c r="J26" s="32"/>
      <c r="K26" s="32"/>
      <c r="L26" s="32"/>
      <c r="M26" s="32"/>
      <c r="N26" s="19">
        <f t="shared" si="0"/>
        <v>0</v>
      </c>
      <c r="O26" s="19">
        <f t="shared" si="1"/>
        <v>0</v>
      </c>
      <c r="P26" s="19">
        <f t="shared" si="2"/>
        <v>0</v>
      </c>
      <c r="Q26" s="19">
        <f t="shared" si="3"/>
        <v>0</v>
      </c>
      <c r="R26" s="19">
        <f t="shared" si="4"/>
        <v>0</v>
      </c>
      <c r="S26" s="19">
        <f t="shared" si="5"/>
        <v>0</v>
      </c>
      <c r="T26" s="19">
        <f t="shared" si="6"/>
        <v>0</v>
      </c>
      <c r="U26" s="19">
        <f t="shared" si="7"/>
        <v>0</v>
      </c>
      <c r="V26" s="19">
        <f t="shared" si="8"/>
        <v>0</v>
      </c>
      <c r="W26" s="24">
        <f t="shared" si="9"/>
        <v>0</v>
      </c>
    </row>
    <row r="27" spans="1:23" x14ac:dyDescent="0.25">
      <c r="A27" s="15">
        <v>26</v>
      </c>
      <c r="B27" s="15"/>
      <c r="C27" s="28"/>
      <c r="D27" s="29"/>
      <c r="E27" s="26"/>
      <c r="F27" s="26"/>
      <c r="G27" s="26"/>
      <c r="H27" s="30"/>
      <c r="J27" s="32"/>
      <c r="K27" s="32"/>
      <c r="L27" s="32"/>
      <c r="M27" s="32"/>
      <c r="N27" s="19">
        <f t="shared" si="0"/>
        <v>0</v>
      </c>
      <c r="O27" s="19">
        <f t="shared" si="1"/>
        <v>0</v>
      </c>
      <c r="P27" s="19">
        <f t="shared" si="2"/>
        <v>0</v>
      </c>
      <c r="Q27" s="19">
        <f t="shared" si="3"/>
        <v>0</v>
      </c>
      <c r="R27" s="19">
        <f t="shared" si="4"/>
        <v>0</v>
      </c>
      <c r="S27" s="19">
        <f t="shared" si="5"/>
        <v>0</v>
      </c>
      <c r="T27" s="19">
        <f t="shared" si="6"/>
        <v>0</v>
      </c>
      <c r="U27" s="19">
        <f t="shared" si="7"/>
        <v>0</v>
      </c>
      <c r="V27" s="19">
        <f t="shared" si="8"/>
        <v>0</v>
      </c>
      <c r="W27" s="24">
        <f t="shared" si="9"/>
        <v>0</v>
      </c>
    </row>
    <row r="28" spans="1:23" x14ac:dyDescent="0.25">
      <c r="A28" s="15">
        <v>27</v>
      </c>
      <c r="B28" s="15"/>
      <c r="C28" s="28"/>
      <c r="D28" s="29"/>
      <c r="E28" s="26"/>
      <c r="F28" s="26"/>
      <c r="G28" s="26"/>
      <c r="H28" s="30"/>
      <c r="J28" s="32"/>
      <c r="K28" s="32"/>
      <c r="L28" s="32"/>
      <c r="M28" s="32"/>
      <c r="N28" s="19">
        <f t="shared" si="0"/>
        <v>0</v>
      </c>
      <c r="O28" s="19">
        <f t="shared" si="1"/>
        <v>0</v>
      </c>
      <c r="P28" s="19">
        <f t="shared" si="2"/>
        <v>0</v>
      </c>
      <c r="Q28" s="19">
        <f t="shared" si="3"/>
        <v>0</v>
      </c>
      <c r="R28" s="19">
        <f t="shared" si="4"/>
        <v>0</v>
      </c>
      <c r="S28" s="19">
        <f t="shared" si="5"/>
        <v>0</v>
      </c>
      <c r="T28" s="19">
        <f t="shared" si="6"/>
        <v>0</v>
      </c>
      <c r="U28" s="19">
        <f t="shared" si="7"/>
        <v>0</v>
      </c>
      <c r="V28" s="19">
        <f t="shared" si="8"/>
        <v>0</v>
      </c>
      <c r="W28" s="24">
        <f t="shared" si="9"/>
        <v>0</v>
      </c>
    </row>
    <row r="29" spans="1:23" x14ac:dyDescent="0.25">
      <c r="A29" s="15">
        <v>28</v>
      </c>
      <c r="B29" s="15"/>
      <c r="C29" s="28"/>
      <c r="D29" s="29"/>
      <c r="E29" s="26"/>
      <c r="F29" s="26"/>
      <c r="G29" s="26"/>
      <c r="H29" s="30"/>
      <c r="J29" s="32"/>
      <c r="K29" s="32"/>
      <c r="L29" s="32"/>
      <c r="M29" s="32"/>
      <c r="N29" s="19">
        <f t="shared" si="0"/>
        <v>0</v>
      </c>
      <c r="O29" s="19">
        <f t="shared" si="1"/>
        <v>0</v>
      </c>
      <c r="P29" s="19">
        <f t="shared" si="2"/>
        <v>0</v>
      </c>
      <c r="Q29" s="19">
        <f t="shared" si="3"/>
        <v>0</v>
      </c>
      <c r="R29" s="19">
        <f t="shared" si="4"/>
        <v>0</v>
      </c>
      <c r="S29" s="19">
        <f t="shared" si="5"/>
        <v>0</v>
      </c>
      <c r="T29" s="19">
        <f t="shared" si="6"/>
        <v>0</v>
      </c>
      <c r="U29" s="19">
        <f t="shared" si="7"/>
        <v>0</v>
      </c>
      <c r="V29" s="19">
        <f t="shared" si="8"/>
        <v>0</v>
      </c>
      <c r="W29" s="24">
        <f t="shared" si="9"/>
        <v>0</v>
      </c>
    </row>
    <row r="30" spans="1:23" x14ac:dyDescent="0.25">
      <c r="A30" s="15">
        <v>29</v>
      </c>
      <c r="B30" s="15"/>
      <c r="C30" s="28"/>
      <c r="D30" s="29"/>
      <c r="E30" s="26"/>
      <c r="F30" s="26"/>
      <c r="G30" s="26"/>
      <c r="H30" s="30"/>
      <c r="J30" s="32"/>
      <c r="K30" s="32"/>
      <c r="L30" s="32"/>
      <c r="M30" s="32"/>
      <c r="N30" s="19">
        <f t="shared" si="0"/>
        <v>0</v>
      </c>
      <c r="O30" s="19">
        <f t="shared" si="1"/>
        <v>0</v>
      </c>
      <c r="P30" s="19">
        <f t="shared" si="2"/>
        <v>0</v>
      </c>
      <c r="Q30" s="19">
        <f t="shared" si="3"/>
        <v>0</v>
      </c>
      <c r="R30" s="19">
        <f t="shared" si="4"/>
        <v>0</v>
      </c>
      <c r="S30" s="19">
        <f t="shared" si="5"/>
        <v>0</v>
      </c>
      <c r="T30" s="19">
        <f t="shared" si="6"/>
        <v>0</v>
      </c>
      <c r="U30" s="19">
        <f t="shared" si="7"/>
        <v>0</v>
      </c>
      <c r="V30" s="19">
        <f t="shared" si="8"/>
        <v>0</v>
      </c>
      <c r="W30" s="24">
        <f t="shared" si="9"/>
        <v>0</v>
      </c>
    </row>
    <row r="31" spans="1:23" x14ac:dyDescent="0.25">
      <c r="A31" s="15">
        <v>30</v>
      </c>
      <c r="B31" s="15"/>
      <c r="C31" s="28"/>
      <c r="D31" s="29"/>
      <c r="E31" s="26"/>
      <c r="F31" s="26"/>
      <c r="G31" s="26"/>
      <c r="H31" s="30"/>
      <c r="J31" s="32"/>
      <c r="K31" s="32"/>
      <c r="L31" s="32"/>
      <c r="M31" s="32"/>
      <c r="N31" s="19">
        <f t="shared" si="0"/>
        <v>0</v>
      </c>
      <c r="O31" s="19">
        <f t="shared" si="1"/>
        <v>0</v>
      </c>
      <c r="P31" s="19">
        <f t="shared" si="2"/>
        <v>0</v>
      </c>
      <c r="Q31" s="19">
        <f t="shared" si="3"/>
        <v>0</v>
      </c>
      <c r="R31" s="19">
        <f t="shared" si="4"/>
        <v>0</v>
      </c>
      <c r="S31" s="19">
        <f t="shared" si="5"/>
        <v>0</v>
      </c>
      <c r="T31" s="19">
        <f t="shared" si="6"/>
        <v>0</v>
      </c>
      <c r="U31" s="19">
        <f t="shared" si="7"/>
        <v>0</v>
      </c>
      <c r="V31" s="19">
        <f t="shared" si="8"/>
        <v>0</v>
      </c>
      <c r="W31" s="24">
        <f t="shared" si="9"/>
        <v>0</v>
      </c>
    </row>
    <row r="32" spans="1:23" x14ac:dyDescent="0.25">
      <c r="G32" s="16" t="s">
        <v>84</v>
      </c>
      <c r="H32" s="24">
        <f>SUM(H2:H31)</f>
        <v>0</v>
      </c>
      <c r="U32" s="16" t="s">
        <v>85</v>
      </c>
      <c r="V32" s="24">
        <f>SUM(V2:V31)</f>
        <v>0</v>
      </c>
      <c r="W32" s="24">
        <f>SUM(W2:W31)</f>
        <v>0</v>
      </c>
    </row>
    <row r="34" spans="1:3" ht="15.75" x14ac:dyDescent="0.25">
      <c r="A34" s="78" t="s">
        <v>111</v>
      </c>
      <c r="B34" s="33"/>
      <c r="C34" s="33"/>
    </row>
    <row r="35" spans="1:3" x14ac:dyDescent="0.25">
      <c r="A35" s="33"/>
      <c r="B35" s="33"/>
      <c r="C35" s="33"/>
    </row>
    <row r="36" spans="1:3" x14ac:dyDescent="0.25">
      <c r="A36" s="33" t="s">
        <v>112</v>
      </c>
      <c r="B36" s="33"/>
      <c r="C36" s="33"/>
    </row>
    <row r="37" spans="1:3" x14ac:dyDescent="0.25">
      <c r="A37" s="33"/>
      <c r="B37" s="79" t="s">
        <v>113</v>
      </c>
      <c r="C37" s="33"/>
    </row>
    <row r="38" spans="1:3" x14ac:dyDescent="0.25">
      <c r="A38" s="33"/>
      <c r="B38" s="33"/>
      <c r="C38" s="33"/>
    </row>
    <row r="39" spans="1:3" x14ac:dyDescent="0.25">
      <c r="A39" s="33" t="s">
        <v>114</v>
      </c>
      <c r="B39" s="33"/>
      <c r="C39" s="33"/>
    </row>
    <row r="40" spans="1:3" x14ac:dyDescent="0.25">
      <c r="A40" s="33"/>
      <c r="B40" s="33" t="s">
        <v>115</v>
      </c>
      <c r="C40" s="33"/>
    </row>
    <row r="41" spans="1:3" x14ac:dyDescent="0.25">
      <c r="A41" s="33"/>
      <c r="B41" s="33"/>
      <c r="C41" s="33"/>
    </row>
    <row r="42" spans="1:3" x14ac:dyDescent="0.25">
      <c r="A42" s="80" t="s">
        <v>116</v>
      </c>
      <c r="B42" s="33"/>
      <c r="C42" s="33"/>
    </row>
    <row r="43" spans="1:3" x14ac:dyDescent="0.25">
      <c r="A43" s="33"/>
      <c r="B43" s="33"/>
      <c r="C43" s="33"/>
    </row>
    <row r="44" spans="1:3" x14ac:dyDescent="0.25">
      <c r="A44" s="88" t="s">
        <v>74</v>
      </c>
      <c r="B44" s="88"/>
      <c r="C44" s="33" t="s">
        <v>117</v>
      </c>
    </row>
    <row r="45" spans="1:3" x14ac:dyDescent="0.25">
      <c r="A45" s="88" t="s">
        <v>75</v>
      </c>
      <c r="B45" s="88"/>
      <c r="C45" s="33" t="s">
        <v>118</v>
      </c>
    </row>
    <row r="46" spans="1:3" x14ac:dyDescent="0.25">
      <c r="A46" s="88" t="s">
        <v>16</v>
      </c>
      <c r="B46" s="88"/>
      <c r="C46" s="85" t="s">
        <v>355</v>
      </c>
    </row>
    <row r="47" spans="1:3" x14ac:dyDescent="0.25">
      <c r="A47" s="88" t="s">
        <v>17</v>
      </c>
      <c r="B47" s="88"/>
      <c r="C47" s="84" t="s">
        <v>119</v>
      </c>
    </row>
    <row r="48" spans="1:3" x14ac:dyDescent="0.25">
      <c r="A48" s="88" t="s">
        <v>86</v>
      </c>
      <c r="B48" s="88"/>
      <c r="C48" s="33" t="s">
        <v>122</v>
      </c>
    </row>
    <row r="49" spans="1:3" x14ac:dyDescent="0.25">
      <c r="A49" s="88" t="s">
        <v>87</v>
      </c>
      <c r="B49" s="88"/>
      <c r="C49" s="33" t="s">
        <v>120</v>
      </c>
    </row>
    <row r="50" spans="1:3" x14ac:dyDescent="0.25">
      <c r="A50" s="88" t="s">
        <v>88</v>
      </c>
      <c r="B50" s="88"/>
      <c r="C50" s="33" t="s">
        <v>121</v>
      </c>
    </row>
    <row r="51" spans="1:3" x14ac:dyDescent="0.25">
      <c r="A51" s="88" t="s">
        <v>13</v>
      </c>
      <c r="B51" s="88"/>
      <c r="C51" s="33" t="s">
        <v>123</v>
      </c>
    </row>
    <row r="52" spans="1:3" x14ac:dyDescent="0.25">
      <c r="A52" s="89"/>
      <c r="B52" s="89"/>
      <c r="C52" s="33"/>
    </row>
    <row r="53" spans="1:3" x14ac:dyDescent="0.25">
      <c r="A53" s="88" t="s">
        <v>6</v>
      </c>
      <c r="B53" s="88"/>
      <c r="C53" s="33" t="s">
        <v>124</v>
      </c>
    </row>
    <row r="54" spans="1:3" x14ac:dyDescent="0.25">
      <c r="A54" s="88" t="s">
        <v>7</v>
      </c>
      <c r="B54" s="88"/>
      <c r="C54" s="33" t="s">
        <v>125</v>
      </c>
    </row>
    <row r="55" spans="1:3" x14ac:dyDescent="0.25">
      <c r="A55" s="88" t="s">
        <v>8</v>
      </c>
      <c r="B55" s="88"/>
      <c r="C55" s="33" t="s">
        <v>126</v>
      </c>
    </row>
    <row r="56" spans="1:3" x14ac:dyDescent="0.25">
      <c r="A56" s="88" t="s">
        <v>9</v>
      </c>
      <c r="B56" s="88"/>
      <c r="C56" s="33" t="s">
        <v>127</v>
      </c>
    </row>
    <row r="57" spans="1:3" x14ac:dyDescent="0.25">
      <c r="A57" s="88" t="s">
        <v>76</v>
      </c>
      <c r="B57" s="88"/>
      <c r="C57" s="33" t="s">
        <v>128</v>
      </c>
    </row>
    <row r="58" spans="1:3" x14ac:dyDescent="0.25">
      <c r="A58" s="88" t="s">
        <v>77</v>
      </c>
      <c r="B58" s="88"/>
      <c r="C58" s="33" t="s">
        <v>322</v>
      </c>
    </row>
    <row r="59" spans="1:3" x14ac:dyDescent="0.25">
      <c r="A59" s="88" t="s">
        <v>78</v>
      </c>
      <c r="B59" s="88"/>
      <c r="C59" s="33" t="s">
        <v>323</v>
      </c>
    </row>
    <row r="60" spans="1:3" x14ac:dyDescent="0.25">
      <c r="A60" s="88" t="s">
        <v>79</v>
      </c>
      <c r="B60" s="88"/>
      <c r="C60" s="33" t="s">
        <v>324</v>
      </c>
    </row>
    <row r="61" spans="1:3" x14ac:dyDescent="0.25">
      <c r="A61" s="88" t="s">
        <v>80</v>
      </c>
      <c r="B61" s="88"/>
      <c r="C61" s="33" t="s">
        <v>129</v>
      </c>
    </row>
    <row r="62" spans="1:3" x14ac:dyDescent="0.25">
      <c r="A62" s="88" t="s">
        <v>81</v>
      </c>
      <c r="B62" s="88"/>
      <c r="C62" s="33" t="s">
        <v>130</v>
      </c>
    </row>
    <row r="63" spans="1:3" x14ac:dyDescent="0.25">
      <c r="A63" s="88" t="s">
        <v>82</v>
      </c>
      <c r="B63" s="88"/>
      <c r="C63" s="33" t="s">
        <v>131</v>
      </c>
    </row>
    <row r="64" spans="1:3" x14ac:dyDescent="0.25">
      <c r="A64" s="88" t="s">
        <v>83</v>
      </c>
      <c r="B64" s="88"/>
      <c r="C64" s="33" t="s">
        <v>325</v>
      </c>
    </row>
    <row r="65" spans="1:3" x14ac:dyDescent="0.25">
      <c r="A65" s="88" t="s">
        <v>13</v>
      </c>
      <c r="B65" s="88"/>
      <c r="C65" s="33" t="s">
        <v>132</v>
      </c>
    </row>
    <row r="66" spans="1:3" x14ac:dyDescent="0.25">
      <c r="A66" s="88" t="s">
        <v>15</v>
      </c>
      <c r="B66" s="88"/>
      <c r="C66" s="33" t="s">
        <v>133</v>
      </c>
    </row>
    <row r="67" spans="1:3" x14ac:dyDescent="0.25">
      <c r="A67" s="33"/>
      <c r="B67" s="33"/>
      <c r="C67" s="33"/>
    </row>
    <row r="68" spans="1:3" ht="15.75" x14ac:dyDescent="0.25">
      <c r="A68" s="81" t="s">
        <v>138</v>
      </c>
      <c r="B68" s="33" t="s">
        <v>139</v>
      </c>
      <c r="C68" s="33"/>
    </row>
    <row r="69" spans="1:3" x14ac:dyDescent="0.25">
      <c r="A69" s="33"/>
      <c r="B69" s="33" t="s">
        <v>141</v>
      </c>
      <c r="C69" s="33"/>
    </row>
    <row r="70" spans="1:3" x14ac:dyDescent="0.25">
      <c r="A70" s="33"/>
      <c r="B70" s="33" t="s">
        <v>140</v>
      </c>
      <c r="C70" s="33"/>
    </row>
    <row r="71" spans="1:3" x14ac:dyDescent="0.25">
      <c r="A71" s="33"/>
      <c r="B71" s="33"/>
      <c r="C71" s="33"/>
    </row>
    <row r="72" spans="1:3" x14ac:dyDescent="0.25">
      <c r="A72" s="33"/>
      <c r="B72" s="33"/>
      <c r="C72" s="33"/>
    </row>
    <row r="73" spans="1:3" x14ac:dyDescent="0.25">
      <c r="A73" s="33"/>
      <c r="B73" s="33"/>
      <c r="C73" s="33"/>
    </row>
    <row r="74" spans="1:3" ht="15.75" x14ac:dyDescent="0.25">
      <c r="A74" s="1"/>
    </row>
    <row r="77" spans="1:3" x14ac:dyDescent="0.25">
      <c r="B77" s="34"/>
    </row>
  </sheetData>
  <sheetProtection sheet="1" scenarios="1"/>
  <mergeCells count="23">
    <mergeCell ref="A54:B54"/>
    <mergeCell ref="A44:B44"/>
    <mergeCell ref="A45:B45"/>
    <mergeCell ref="A46:B46"/>
    <mergeCell ref="A47:B47"/>
    <mergeCell ref="A48:B48"/>
    <mergeCell ref="A49:B49"/>
    <mergeCell ref="A50:B50"/>
    <mergeCell ref="A51:B51"/>
    <mergeCell ref="A52:B52"/>
    <mergeCell ref="A53:B53"/>
    <mergeCell ref="A66:B66"/>
    <mergeCell ref="A55:B55"/>
    <mergeCell ref="A56:B56"/>
    <mergeCell ref="A57:B57"/>
    <mergeCell ref="A58:B58"/>
    <mergeCell ref="A59:B59"/>
    <mergeCell ref="A60:B60"/>
    <mergeCell ref="A61:B61"/>
    <mergeCell ref="A62:B62"/>
    <mergeCell ref="A63:B63"/>
    <mergeCell ref="A64:B64"/>
    <mergeCell ref="A65:B6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AllFromData">
                <anchor moveWithCells="1">
                  <from>
                    <xdr:col>8</xdr:col>
                    <xdr:colOff>9525</xdr:colOff>
                    <xdr:row>0</xdr:row>
                    <xdr:rowOff>85725</xdr:rowOff>
                  </from>
                  <to>
                    <xdr:col>8</xdr:col>
                    <xdr:colOff>704850</xdr:colOff>
                    <xdr:row>1</xdr:row>
                    <xdr:rowOff>114300</xdr:rowOff>
                  </to>
                </anchor>
              </controlPr>
            </control>
          </mc:Choice>
        </mc:AlternateContent>
        <mc:AlternateContent xmlns:mc="http://schemas.openxmlformats.org/markup-compatibility/2006">
          <mc:Choice Requires="x14">
            <control shapeId="5122" r:id="rId5" name="Button 2">
              <controlPr defaultSize="0" print="0" autoFill="0" autoPict="0" macro="[0]!loadEventIntoSimulator">
                <anchor moveWithCells="1">
                  <from>
                    <xdr:col>8</xdr:col>
                    <xdr:colOff>600075</xdr:colOff>
                    <xdr:row>31</xdr:row>
                    <xdr:rowOff>152400</xdr:rowOff>
                  </from>
                  <to>
                    <xdr:col>13</xdr:col>
                    <xdr:colOff>238125</xdr:colOff>
                    <xdr:row>33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41"/>
  <sheetViews>
    <sheetView zoomScale="90" zoomScaleNormal="90" workbookViewId="0">
      <selection activeCell="A5" sqref="A5"/>
    </sheetView>
  </sheetViews>
  <sheetFormatPr defaultRowHeight="15" x14ac:dyDescent="0.25"/>
  <cols>
    <col min="1" max="1" width="18.5703125" customWidth="1"/>
    <col min="2" max="3" width="11.28515625" customWidth="1"/>
    <col min="4" max="4" width="13.7109375" customWidth="1"/>
    <col min="5" max="5" width="10.7109375" customWidth="1"/>
    <col min="6" max="6" width="11.85546875" customWidth="1"/>
    <col min="7" max="7" width="13.42578125" customWidth="1"/>
    <col min="8" max="8" width="12.42578125" customWidth="1"/>
    <col min="9" max="9" width="12.5703125" customWidth="1"/>
    <col min="10" max="10" width="13.28515625" customWidth="1"/>
    <col min="11" max="11" width="13.7109375" bestFit="1" customWidth="1"/>
    <col min="12" max="14" width="10.5703125" bestFit="1" customWidth="1"/>
    <col min="15" max="15" width="11.5703125" customWidth="1"/>
    <col min="16" max="16" width="3.140625" customWidth="1"/>
    <col min="17" max="17" width="3.28515625" customWidth="1"/>
    <col min="20" max="20" width="19.140625" customWidth="1"/>
  </cols>
  <sheetData>
    <row r="1" spans="1:16" ht="15.75" x14ac:dyDescent="0.25">
      <c r="A1" s="1" t="s">
        <v>14</v>
      </c>
    </row>
    <row r="2" spans="1:16" ht="15.75" x14ac:dyDescent="0.25">
      <c r="I2" s="17"/>
    </row>
    <row r="3" spans="1:16" ht="15.75" x14ac:dyDescent="0.25">
      <c r="F3" s="78" t="s">
        <v>89</v>
      </c>
      <c r="G3" s="33"/>
      <c r="H3" s="33"/>
      <c r="I3" s="80"/>
      <c r="J3" s="33"/>
      <c r="K3" s="33"/>
      <c r="L3" s="33"/>
    </row>
    <row r="4" spans="1:16" ht="15" customHeight="1" x14ac:dyDescent="0.25">
      <c r="A4" s="62"/>
      <c r="B4" s="93" t="s">
        <v>302</v>
      </c>
      <c r="C4" s="94"/>
      <c r="D4" s="95"/>
      <c r="E4" s="2"/>
      <c r="F4" s="90" t="s">
        <v>334</v>
      </c>
      <c r="G4" s="91"/>
      <c r="H4" s="91"/>
      <c r="I4" s="91"/>
      <c r="J4" s="91"/>
      <c r="K4" s="91"/>
      <c r="L4" s="92"/>
      <c r="P4" s="2"/>
    </row>
    <row r="5" spans="1:16" ht="18" x14ac:dyDescent="0.25">
      <c r="A5" s="60"/>
      <c r="B5" s="93" t="s">
        <v>1</v>
      </c>
      <c r="C5" s="94"/>
      <c r="D5" s="95"/>
      <c r="E5" s="67" t="s">
        <v>340</v>
      </c>
      <c r="F5" s="90" t="s">
        <v>333</v>
      </c>
      <c r="G5" s="91"/>
      <c r="H5" s="91"/>
      <c r="I5" s="91"/>
      <c r="J5" s="91"/>
      <c r="K5" s="91"/>
      <c r="L5" s="92"/>
      <c r="P5" s="2"/>
    </row>
    <row r="6" spans="1:16" x14ac:dyDescent="0.25">
      <c r="A6" s="57"/>
      <c r="B6" s="93" t="s">
        <v>296</v>
      </c>
      <c r="C6" s="94"/>
      <c r="D6" s="95"/>
      <c r="E6" s="2"/>
      <c r="F6" s="90" t="s">
        <v>336</v>
      </c>
      <c r="G6" s="91"/>
      <c r="H6" s="91"/>
      <c r="I6" s="91"/>
      <c r="J6" s="91"/>
      <c r="K6" s="91"/>
      <c r="L6" s="92"/>
      <c r="P6" s="2"/>
    </row>
    <row r="7" spans="1:16" ht="15" customHeight="1" x14ac:dyDescent="0.25">
      <c r="A7" s="58"/>
      <c r="B7" s="93" t="s">
        <v>297</v>
      </c>
      <c r="C7" s="94"/>
      <c r="D7" s="95"/>
      <c r="E7" s="2"/>
      <c r="F7" s="103" t="s">
        <v>337</v>
      </c>
      <c r="G7" s="104"/>
      <c r="H7" s="104"/>
      <c r="I7" s="104"/>
      <c r="J7" s="104"/>
      <c r="K7" s="104"/>
      <c r="L7" s="105"/>
      <c r="P7" s="2"/>
    </row>
    <row r="8" spans="1:16" x14ac:dyDescent="0.25">
      <c r="A8" s="27"/>
      <c r="B8" s="96" t="s">
        <v>20</v>
      </c>
      <c r="C8" s="97"/>
      <c r="D8" s="98"/>
      <c r="E8" s="2"/>
      <c r="F8" s="106"/>
      <c r="G8" s="107"/>
      <c r="H8" s="107"/>
      <c r="I8" s="107"/>
      <c r="J8" s="107"/>
      <c r="K8" s="107"/>
      <c r="L8" s="108"/>
      <c r="P8" s="2"/>
    </row>
    <row r="9" spans="1:16" ht="18" customHeight="1" x14ac:dyDescent="0.25">
      <c r="A9" s="27"/>
      <c r="B9" s="99" t="s">
        <v>21</v>
      </c>
      <c r="C9" s="100"/>
      <c r="D9" s="101"/>
      <c r="E9" s="67" t="s">
        <v>340</v>
      </c>
      <c r="F9" s="109" t="s">
        <v>338</v>
      </c>
      <c r="G9" s="110"/>
      <c r="H9" s="110"/>
      <c r="I9" s="110"/>
      <c r="J9" s="110"/>
      <c r="K9" s="110"/>
      <c r="L9" s="111"/>
      <c r="P9" s="2"/>
    </row>
    <row r="10" spans="1:16" ht="19.5" customHeight="1" x14ac:dyDescent="0.25">
      <c r="A10" s="59"/>
      <c r="B10" s="96" t="s">
        <v>18</v>
      </c>
      <c r="C10" s="97"/>
      <c r="D10" s="98"/>
      <c r="E10" s="2"/>
      <c r="F10" s="112"/>
      <c r="G10" s="113"/>
      <c r="H10" s="113"/>
      <c r="I10" s="113"/>
      <c r="J10" s="113"/>
      <c r="K10" s="113"/>
      <c r="L10" s="114"/>
      <c r="P10" s="2"/>
    </row>
    <row r="11" spans="1:16" ht="18" customHeight="1" x14ac:dyDescent="0.25">
      <c r="A11" s="27"/>
      <c r="B11" s="99" t="s">
        <v>19</v>
      </c>
      <c r="C11" s="100"/>
      <c r="D11" s="101"/>
      <c r="E11" s="67" t="s">
        <v>340</v>
      </c>
      <c r="F11" s="103" t="s">
        <v>339</v>
      </c>
      <c r="G11" s="104"/>
      <c r="H11" s="104"/>
      <c r="I11" s="104"/>
      <c r="J11" s="104"/>
      <c r="K11" s="104"/>
      <c r="L11" s="105"/>
      <c r="P11" s="2"/>
    </row>
    <row r="12" spans="1:16" x14ac:dyDescent="0.25">
      <c r="A12" s="18">
        <f>C16</f>
        <v>20</v>
      </c>
      <c r="B12" s="93" t="s">
        <v>22</v>
      </c>
      <c r="C12" s="94"/>
      <c r="D12" s="95"/>
      <c r="E12" s="2"/>
      <c r="F12" s="106"/>
      <c r="G12" s="107"/>
      <c r="H12" s="107"/>
      <c r="I12" s="107"/>
      <c r="J12" s="107"/>
      <c r="K12" s="107"/>
      <c r="L12" s="108"/>
      <c r="P12" s="2"/>
    </row>
    <row r="13" spans="1:16" x14ac:dyDescent="0.25">
      <c r="A13" s="61">
        <v>0.56786000000000003</v>
      </c>
      <c r="B13" s="93" t="s">
        <v>0</v>
      </c>
      <c r="C13" s="94"/>
      <c r="D13" s="95"/>
      <c r="E13" s="2"/>
      <c r="F13" s="115" t="s">
        <v>303</v>
      </c>
      <c r="G13" s="115"/>
      <c r="H13" s="115"/>
      <c r="I13" s="115"/>
      <c r="J13" s="115"/>
      <c r="K13" s="115"/>
      <c r="L13" s="115"/>
      <c r="P13" s="2"/>
    </row>
    <row r="14" spans="1:16" x14ac:dyDescent="0.25">
      <c r="E14" s="2"/>
      <c r="F14" s="115"/>
      <c r="G14" s="115"/>
      <c r="H14" s="115"/>
      <c r="I14" s="115"/>
      <c r="J14" s="115"/>
      <c r="K14" s="115"/>
      <c r="L14" s="115"/>
    </row>
    <row r="15" spans="1:16" x14ac:dyDescent="0.25">
      <c r="C15" s="66" t="s">
        <v>330</v>
      </c>
      <c r="D15" s="66" t="s">
        <v>72</v>
      </c>
      <c r="F15" s="115"/>
      <c r="G15" s="115"/>
      <c r="H15" s="115"/>
      <c r="I15" s="115"/>
      <c r="J15" s="115"/>
      <c r="K15" s="115"/>
      <c r="L15" s="115"/>
    </row>
    <row r="16" spans="1:16" x14ac:dyDescent="0.25">
      <c r="C16" s="64">
        <f>IF($A$5="AM",((40+A10-A7)*0.75+A6),((40+A10-A7)*0.5+A6))</f>
        <v>20</v>
      </c>
      <c r="D16" s="12">
        <f>K41</f>
        <v>22.714400000000001</v>
      </c>
      <c r="F16" s="116" t="s">
        <v>331</v>
      </c>
      <c r="G16" s="116"/>
      <c r="H16" s="116"/>
      <c r="I16" s="116"/>
      <c r="J16" s="116"/>
      <c r="K16" s="116"/>
      <c r="L16" s="116"/>
    </row>
    <row r="17" spans="1:13" x14ac:dyDescent="0.25">
      <c r="C17" s="64">
        <f>IF(A9&gt;A12,(A10+IF(A5="AM",(A9-A12)/3*4,(A9-A12)*2)),0)</f>
        <v>0</v>
      </c>
      <c r="D17" s="56">
        <f>IF(C17=0, 0,D16 - (A9-C16+C17-A10)*A13)</f>
        <v>0</v>
      </c>
      <c r="F17" s="102" t="s">
        <v>332</v>
      </c>
      <c r="G17" s="102"/>
      <c r="H17" s="102"/>
      <c r="I17" s="102"/>
      <c r="J17" s="102"/>
      <c r="K17" s="102"/>
      <c r="L17" s="102"/>
    </row>
    <row r="18" spans="1:13" x14ac:dyDescent="0.25">
      <c r="C18" s="64">
        <f>IF(D16&lt;D18,C39,0)</f>
        <v>0</v>
      </c>
      <c r="D18" s="56">
        <f>L41</f>
        <v>0</v>
      </c>
      <c r="F18" s="102" t="s">
        <v>335</v>
      </c>
      <c r="G18" s="102"/>
      <c r="H18" s="102"/>
      <c r="I18" s="102"/>
      <c r="J18" s="102"/>
      <c r="K18" s="102"/>
      <c r="L18" s="102"/>
    </row>
    <row r="19" spans="1:13" x14ac:dyDescent="0.25">
      <c r="B19" s="11"/>
    </row>
    <row r="20" spans="1:13" x14ac:dyDescent="0.25">
      <c r="E20" t="s">
        <v>2</v>
      </c>
      <c r="G20" t="s">
        <v>3</v>
      </c>
      <c r="I20" t="s">
        <v>4</v>
      </c>
      <c r="K20" t="s">
        <v>5</v>
      </c>
    </row>
    <row r="21" spans="1:13" x14ac:dyDescent="0.25">
      <c r="A21" t="s">
        <v>6</v>
      </c>
      <c r="B21" t="s">
        <v>7</v>
      </c>
      <c r="C21" t="s">
        <v>8</v>
      </c>
      <c r="D21" t="s">
        <v>9</v>
      </c>
      <c r="E21" t="s">
        <v>10</v>
      </c>
      <c r="F21" t="s">
        <v>11</v>
      </c>
      <c r="G21" t="s">
        <v>10</v>
      </c>
      <c r="H21" t="s">
        <v>11</v>
      </c>
      <c r="I21" t="s">
        <v>10</v>
      </c>
      <c r="J21" t="s">
        <v>11</v>
      </c>
      <c r="K21" t="s">
        <v>10</v>
      </c>
      <c r="L21" t="s">
        <v>11</v>
      </c>
    </row>
    <row r="22" spans="1:13" x14ac:dyDescent="0.25">
      <c r="A22" s="3">
        <f>A6</f>
        <v>0</v>
      </c>
      <c r="B22" s="3">
        <f>A7</f>
        <v>0</v>
      </c>
      <c r="C22" s="4">
        <f t="shared" ref="C22:C28" si="0">C23-1</f>
        <v>12</v>
      </c>
      <c r="D22" s="3">
        <f>IF(A11="",A10,A11)</f>
        <v>0</v>
      </c>
      <c r="E22" s="3">
        <f>IF(C22-A22&lt;0,0,C22-A22)</f>
        <v>12</v>
      </c>
      <c r="F22" s="3">
        <f>IF(E22&gt;(A22*2),A22*2,E22)</f>
        <v>0</v>
      </c>
      <c r="G22" s="3">
        <f t="shared" ref="G22:G39" si="1">B22+IF($A$5="AM", E22/3*4,E22*2)</f>
        <v>24</v>
      </c>
      <c r="H22" s="3">
        <f t="shared" ref="H22:H39" si="2">B22+IF($A$5="AM",F22/3*4,F22*2)</f>
        <v>0</v>
      </c>
      <c r="I22" s="3">
        <f>G22-D22</f>
        <v>24</v>
      </c>
      <c r="J22" s="3">
        <f>H22-D22</f>
        <v>0</v>
      </c>
      <c r="K22" s="5">
        <f t="shared" ref="K22:K39" si="3">IF(I22&lt;=40,I22*$A$13,0)</f>
        <v>13.628640000000001</v>
      </c>
      <c r="L22" s="5">
        <f t="shared" ref="L22:L39" si="4">IF(I22&lt;40,0,J22*$A$13)</f>
        <v>0</v>
      </c>
    </row>
    <row r="23" spans="1:13" x14ac:dyDescent="0.25">
      <c r="A23" s="3">
        <f>A22</f>
        <v>0</v>
      </c>
      <c r="B23" s="3">
        <f>B22</f>
        <v>0</v>
      </c>
      <c r="C23" s="4">
        <f t="shared" si="0"/>
        <v>13</v>
      </c>
      <c r="D23" s="3">
        <f>D22</f>
        <v>0</v>
      </c>
      <c r="E23" s="3">
        <f t="shared" ref="E23:E39" si="5">IF(C23-A23&lt;0,0,C23-A23)</f>
        <v>13</v>
      </c>
      <c r="F23" s="3">
        <f t="shared" ref="F23:F39" si="6">IF(E23&gt;(A23*2),A23*2,E23)</f>
        <v>0</v>
      </c>
      <c r="G23" s="3">
        <f t="shared" si="1"/>
        <v>26</v>
      </c>
      <c r="H23" s="3">
        <f t="shared" si="2"/>
        <v>0</v>
      </c>
      <c r="I23" s="3">
        <f t="shared" ref="I23:I39" si="7">G23-D23</f>
        <v>26</v>
      </c>
      <c r="J23" s="3">
        <f t="shared" ref="J23:J39" si="8">H23-D23</f>
        <v>0</v>
      </c>
      <c r="K23" s="5">
        <f t="shared" si="3"/>
        <v>14.76436</v>
      </c>
      <c r="L23" s="5">
        <f t="shared" si="4"/>
        <v>0</v>
      </c>
    </row>
    <row r="24" spans="1:13" x14ac:dyDescent="0.25">
      <c r="A24" s="3">
        <f t="shared" ref="A24:B39" si="9">A23</f>
        <v>0</v>
      </c>
      <c r="B24" s="3">
        <f t="shared" si="9"/>
        <v>0</v>
      </c>
      <c r="C24" s="4">
        <f t="shared" si="0"/>
        <v>14</v>
      </c>
      <c r="D24" s="3">
        <f t="shared" ref="D24:D39" si="10">D23</f>
        <v>0</v>
      </c>
      <c r="E24" s="3">
        <f t="shared" si="5"/>
        <v>14</v>
      </c>
      <c r="F24" s="3">
        <f t="shared" si="6"/>
        <v>0</v>
      </c>
      <c r="G24" s="3">
        <f t="shared" si="1"/>
        <v>28</v>
      </c>
      <c r="H24" s="3">
        <f t="shared" si="2"/>
        <v>0</v>
      </c>
      <c r="I24" s="3">
        <f t="shared" si="7"/>
        <v>28</v>
      </c>
      <c r="J24" s="3">
        <f t="shared" si="8"/>
        <v>0</v>
      </c>
      <c r="K24" s="5">
        <f t="shared" si="3"/>
        <v>15.900080000000001</v>
      </c>
      <c r="L24" s="5">
        <f t="shared" si="4"/>
        <v>0</v>
      </c>
    </row>
    <row r="25" spans="1:13" x14ac:dyDescent="0.25">
      <c r="A25" s="3">
        <f t="shared" si="9"/>
        <v>0</v>
      </c>
      <c r="B25" s="3">
        <f t="shared" si="9"/>
        <v>0</v>
      </c>
      <c r="C25" s="4">
        <f t="shared" si="0"/>
        <v>15</v>
      </c>
      <c r="D25" s="3">
        <f t="shared" si="10"/>
        <v>0</v>
      </c>
      <c r="E25" s="3">
        <f>IF(C25-A25&lt;0,0,C25-A25)</f>
        <v>15</v>
      </c>
      <c r="F25" s="3">
        <f t="shared" si="6"/>
        <v>0</v>
      </c>
      <c r="G25" s="3">
        <f t="shared" si="1"/>
        <v>30</v>
      </c>
      <c r="H25" s="3">
        <f t="shared" si="2"/>
        <v>0</v>
      </c>
      <c r="I25" s="3">
        <f t="shared" si="7"/>
        <v>30</v>
      </c>
      <c r="J25" s="3">
        <f t="shared" si="8"/>
        <v>0</v>
      </c>
      <c r="K25" s="5">
        <f t="shared" si="3"/>
        <v>17.035800000000002</v>
      </c>
      <c r="L25" s="5">
        <f t="shared" si="4"/>
        <v>0</v>
      </c>
    </row>
    <row r="26" spans="1:13" x14ac:dyDescent="0.25">
      <c r="A26" s="3">
        <f t="shared" si="9"/>
        <v>0</v>
      </c>
      <c r="B26" s="3">
        <f t="shared" si="9"/>
        <v>0</v>
      </c>
      <c r="C26" s="4">
        <f t="shared" si="0"/>
        <v>16</v>
      </c>
      <c r="D26" s="3">
        <f t="shared" si="10"/>
        <v>0</v>
      </c>
      <c r="E26" s="3">
        <f t="shared" si="5"/>
        <v>16</v>
      </c>
      <c r="F26" s="3">
        <f t="shared" si="6"/>
        <v>0</v>
      </c>
      <c r="G26" s="3">
        <f t="shared" si="1"/>
        <v>32</v>
      </c>
      <c r="H26" s="3">
        <f t="shared" si="2"/>
        <v>0</v>
      </c>
      <c r="I26" s="3">
        <f t="shared" si="7"/>
        <v>32</v>
      </c>
      <c r="J26" s="3">
        <f t="shared" si="8"/>
        <v>0</v>
      </c>
      <c r="K26" s="5">
        <f t="shared" si="3"/>
        <v>18.171520000000001</v>
      </c>
      <c r="L26" s="5">
        <f t="shared" si="4"/>
        <v>0</v>
      </c>
    </row>
    <row r="27" spans="1:13" x14ac:dyDescent="0.25">
      <c r="A27" s="3">
        <f t="shared" si="9"/>
        <v>0</v>
      </c>
      <c r="B27" s="3">
        <f t="shared" si="9"/>
        <v>0</v>
      </c>
      <c r="C27" s="4">
        <f t="shared" si="0"/>
        <v>17</v>
      </c>
      <c r="D27" s="3">
        <f t="shared" si="10"/>
        <v>0</v>
      </c>
      <c r="E27" s="3">
        <f t="shared" si="5"/>
        <v>17</v>
      </c>
      <c r="F27" s="3">
        <f t="shared" si="6"/>
        <v>0</v>
      </c>
      <c r="G27" s="3">
        <f t="shared" si="1"/>
        <v>34</v>
      </c>
      <c r="H27" s="3">
        <f t="shared" si="2"/>
        <v>0</v>
      </c>
      <c r="I27" s="3">
        <f t="shared" si="7"/>
        <v>34</v>
      </c>
      <c r="J27" s="3">
        <f t="shared" si="8"/>
        <v>0</v>
      </c>
      <c r="K27" s="5">
        <f t="shared" si="3"/>
        <v>19.30724</v>
      </c>
      <c r="L27" s="5">
        <f t="shared" si="4"/>
        <v>0</v>
      </c>
    </row>
    <row r="28" spans="1:13" x14ac:dyDescent="0.25">
      <c r="A28" s="3">
        <f t="shared" si="9"/>
        <v>0</v>
      </c>
      <c r="B28" s="3">
        <f t="shared" si="9"/>
        <v>0</v>
      </c>
      <c r="C28" s="4">
        <f t="shared" si="0"/>
        <v>18</v>
      </c>
      <c r="D28" s="3">
        <f t="shared" si="10"/>
        <v>0</v>
      </c>
      <c r="E28" s="3">
        <f t="shared" si="5"/>
        <v>18</v>
      </c>
      <c r="F28" s="3">
        <f t="shared" si="6"/>
        <v>0</v>
      </c>
      <c r="G28" s="3">
        <f t="shared" si="1"/>
        <v>36</v>
      </c>
      <c r="H28" s="3">
        <f t="shared" si="2"/>
        <v>0</v>
      </c>
      <c r="I28" s="3">
        <f t="shared" si="7"/>
        <v>36</v>
      </c>
      <c r="J28" s="3">
        <f t="shared" si="8"/>
        <v>0</v>
      </c>
      <c r="K28" s="5">
        <f t="shared" si="3"/>
        <v>20.442959999999999</v>
      </c>
      <c r="L28" s="5">
        <f t="shared" si="4"/>
        <v>0</v>
      </c>
    </row>
    <row r="29" spans="1:13" x14ac:dyDescent="0.25">
      <c r="A29" s="3">
        <f t="shared" si="9"/>
        <v>0</v>
      </c>
      <c r="B29" s="3">
        <f t="shared" si="9"/>
        <v>0</v>
      </c>
      <c r="C29" s="4">
        <f>C30-1</f>
        <v>19</v>
      </c>
      <c r="D29" s="3">
        <f t="shared" si="10"/>
        <v>0</v>
      </c>
      <c r="E29" s="3">
        <f t="shared" si="5"/>
        <v>19</v>
      </c>
      <c r="F29" s="3">
        <f t="shared" si="6"/>
        <v>0</v>
      </c>
      <c r="G29" s="3">
        <f t="shared" si="1"/>
        <v>38</v>
      </c>
      <c r="H29" s="3">
        <f t="shared" si="2"/>
        <v>0</v>
      </c>
      <c r="I29" s="3">
        <f t="shared" si="7"/>
        <v>38</v>
      </c>
      <c r="J29" s="3">
        <f t="shared" si="8"/>
        <v>0</v>
      </c>
      <c r="K29" s="5">
        <f t="shared" si="3"/>
        <v>21.578680000000002</v>
      </c>
      <c r="L29" s="5">
        <f t="shared" si="4"/>
        <v>0</v>
      </c>
    </row>
    <row r="30" spans="1:13" x14ac:dyDescent="0.25">
      <c r="A30" s="6">
        <f>A29</f>
        <v>0</v>
      </c>
      <c r="B30" s="6">
        <f t="shared" si="9"/>
        <v>0</v>
      </c>
      <c r="C30" s="7">
        <f>IF(A9="",IF(A8="",A12,A8),A9)</f>
        <v>20</v>
      </c>
      <c r="D30" s="6">
        <f t="shared" si="10"/>
        <v>0</v>
      </c>
      <c r="E30" s="6">
        <f t="shared" si="5"/>
        <v>20</v>
      </c>
      <c r="F30" s="6">
        <f t="shared" si="6"/>
        <v>0</v>
      </c>
      <c r="G30" s="6">
        <f t="shared" si="1"/>
        <v>40</v>
      </c>
      <c r="H30" s="6">
        <f t="shared" si="2"/>
        <v>0</v>
      </c>
      <c r="I30" s="6">
        <f t="shared" si="7"/>
        <v>40</v>
      </c>
      <c r="J30" s="6">
        <f t="shared" si="8"/>
        <v>0</v>
      </c>
      <c r="K30" s="8">
        <f t="shared" si="3"/>
        <v>22.714400000000001</v>
      </c>
      <c r="L30" s="8">
        <f t="shared" si="4"/>
        <v>0</v>
      </c>
      <c r="M30" s="68" t="str">
        <f>IF(AND(A9&gt;0, A11&gt;0), "CREDIT HQ","")</f>
        <v/>
      </c>
    </row>
    <row r="31" spans="1:13" x14ac:dyDescent="0.25">
      <c r="A31" s="3">
        <f t="shared" si="9"/>
        <v>0</v>
      </c>
      <c r="B31" s="3">
        <f t="shared" si="9"/>
        <v>0</v>
      </c>
      <c r="C31" s="4">
        <f>C30+1</f>
        <v>21</v>
      </c>
      <c r="D31" s="3">
        <f t="shared" si="10"/>
        <v>0</v>
      </c>
      <c r="E31" s="3">
        <f t="shared" si="5"/>
        <v>21</v>
      </c>
      <c r="F31" s="3">
        <f t="shared" si="6"/>
        <v>0</v>
      </c>
      <c r="G31" s="3">
        <f t="shared" si="1"/>
        <v>42</v>
      </c>
      <c r="H31" s="3">
        <f t="shared" si="2"/>
        <v>0</v>
      </c>
      <c r="I31" s="3">
        <f t="shared" si="7"/>
        <v>42</v>
      </c>
      <c r="J31" s="3">
        <f t="shared" si="8"/>
        <v>0</v>
      </c>
      <c r="K31" s="5">
        <f t="shared" si="3"/>
        <v>0</v>
      </c>
      <c r="L31" s="5">
        <f t="shared" si="4"/>
        <v>0</v>
      </c>
    </row>
    <row r="32" spans="1:13" x14ac:dyDescent="0.25">
      <c r="A32" s="3">
        <f t="shared" si="9"/>
        <v>0</v>
      </c>
      <c r="B32" s="3">
        <f t="shared" si="9"/>
        <v>0</v>
      </c>
      <c r="C32" s="4">
        <f t="shared" ref="C32:C38" si="11">C31+1</f>
        <v>22</v>
      </c>
      <c r="D32" s="3">
        <f t="shared" si="10"/>
        <v>0</v>
      </c>
      <c r="E32" s="3">
        <f t="shared" si="5"/>
        <v>22</v>
      </c>
      <c r="F32" s="3">
        <f t="shared" si="6"/>
        <v>0</v>
      </c>
      <c r="G32" s="3">
        <f t="shared" si="1"/>
        <v>44</v>
      </c>
      <c r="H32" s="3">
        <f t="shared" si="2"/>
        <v>0</v>
      </c>
      <c r="I32" s="3">
        <f t="shared" si="7"/>
        <v>44</v>
      </c>
      <c r="J32" s="3">
        <f t="shared" si="8"/>
        <v>0</v>
      </c>
      <c r="K32" s="5">
        <f t="shared" si="3"/>
        <v>0</v>
      </c>
      <c r="L32" s="5">
        <f t="shared" si="4"/>
        <v>0</v>
      </c>
    </row>
    <row r="33" spans="1:12" x14ac:dyDescent="0.25">
      <c r="A33" s="3">
        <f t="shared" si="9"/>
        <v>0</v>
      </c>
      <c r="B33" s="3">
        <f t="shared" si="9"/>
        <v>0</v>
      </c>
      <c r="C33" s="4">
        <f t="shared" si="11"/>
        <v>23</v>
      </c>
      <c r="D33" s="3">
        <f t="shared" si="10"/>
        <v>0</v>
      </c>
      <c r="E33" s="3">
        <f t="shared" si="5"/>
        <v>23</v>
      </c>
      <c r="F33" s="3">
        <f t="shared" si="6"/>
        <v>0</v>
      </c>
      <c r="G33" s="3">
        <f t="shared" si="1"/>
        <v>46</v>
      </c>
      <c r="H33" s="3">
        <f t="shared" si="2"/>
        <v>0</v>
      </c>
      <c r="I33" s="3">
        <f>G33-D33</f>
        <v>46</v>
      </c>
      <c r="J33" s="3">
        <f t="shared" si="8"/>
        <v>0</v>
      </c>
      <c r="K33" s="5">
        <f t="shared" si="3"/>
        <v>0</v>
      </c>
      <c r="L33" s="5">
        <f t="shared" si="4"/>
        <v>0</v>
      </c>
    </row>
    <row r="34" spans="1:12" x14ac:dyDescent="0.25">
      <c r="A34" s="3">
        <f t="shared" si="9"/>
        <v>0</v>
      </c>
      <c r="B34" s="3">
        <f t="shared" si="9"/>
        <v>0</v>
      </c>
      <c r="C34" s="4">
        <f t="shared" si="11"/>
        <v>24</v>
      </c>
      <c r="D34" s="3">
        <f t="shared" si="10"/>
        <v>0</v>
      </c>
      <c r="E34" s="3">
        <f>IF(C34-A34&lt;0,0,C34-A34)</f>
        <v>24</v>
      </c>
      <c r="F34" s="3">
        <f t="shared" si="6"/>
        <v>0</v>
      </c>
      <c r="G34" s="3">
        <f t="shared" si="1"/>
        <v>48</v>
      </c>
      <c r="H34" s="3">
        <f t="shared" si="2"/>
        <v>0</v>
      </c>
      <c r="I34" s="3">
        <f t="shared" si="7"/>
        <v>48</v>
      </c>
      <c r="J34" s="3">
        <f t="shared" si="8"/>
        <v>0</v>
      </c>
      <c r="K34" s="5">
        <f t="shared" si="3"/>
        <v>0</v>
      </c>
      <c r="L34" s="5">
        <f t="shared" si="4"/>
        <v>0</v>
      </c>
    </row>
    <row r="35" spans="1:12" x14ac:dyDescent="0.25">
      <c r="A35" s="3">
        <f t="shared" si="9"/>
        <v>0</v>
      </c>
      <c r="B35" s="3">
        <f t="shared" si="9"/>
        <v>0</v>
      </c>
      <c r="C35" s="4">
        <f t="shared" si="11"/>
        <v>25</v>
      </c>
      <c r="D35" s="3">
        <f t="shared" si="10"/>
        <v>0</v>
      </c>
      <c r="E35" s="3">
        <f t="shared" si="5"/>
        <v>25</v>
      </c>
      <c r="F35" s="3">
        <f t="shared" si="6"/>
        <v>0</v>
      </c>
      <c r="G35" s="3">
        <f t="shared" si="1"/>
        <v>50</v>
      </c>
      <c r="H35" s="3">
        <f t="shared" si="2"/>
        <v>0</v>
      </c>
      <c r="I35" s="3">
        <f t="shared" si="7"/>
        <v>50</v>
      </c>
      <c r="J35" s="3">
        <f t="shared" si="8"/>
        <v>0</v>
      </c>
      <c r="K35" s="5">
        <f t="shared" si="3"/>
        <v>0</v>
      </c>
      <c r="L35" s="5">
        <f t="shared" si="4"/>
        <v>0</v>
      </c>
    </row>
    <row r="36" spans="1:12" x14ac:dyDescent="0.25">
      <c r="A36" s="3">
        <f t="shared" si="9"/>
        <v>0</v>
      </c>
      <c r="B36" s="3">
        <f t="shared" si="9"/>
        <v>0</v>
      </c>
      <c r="C36" s="4">
        <f t="shared" si="11"/>
        <v>26</v>
      </c>
      <c r="D36" s="3">
        <f t="shared" si="10"/>
        <v>0</v>
      </c>
      <c r="E36" s="3">
        <f t="shared" si="5"/>
        <v>26</v>
      </c>
      <c r="F36" s="3">
        <f t="shared" si="6"/>
        <v>0</v>
      </c>
      <c r="G36" s="3">
        <f t="shared" si="1"/>
        <v>52</v>
      </c>
      <c r="H36" s="3">
        <f t="shared" si="2"/>
        <v>0</v>
      </c>
      <c r="I36" s="3">
        <f t="shared" si="7"/>
        <v>52</v>
      </c>
      <c r="J36" s="3">
        <f t="shared" si="8"/>
        <v>0</v>
      </c>
      <c r="K36" s="5">
        <f t="shared" si="3"/>
        <v>0</v>
      </c>
      <c r="L36" s="5">
        <f t="shared" si="4"/>
        <v>0</v>
      </c>
    </row>
    <row r="37" spans="1:12" x14ac:dyDescent="0.25">
      <c r="A37" s="3">
        <f t="shared" si="9"/>
        <v>0</v>
      </c>
      <c r="B37" s="3">
        <f t="shared" si="9"/>
        <v>0</v>
      </c>
      <c r="C37" s="4">
        <f t="shared" si="11"/>
        <v>27</v>
      </c>
      <c r="D37" s="3">
        <f t="shared" si="10"/>
        <v>0</v>
      </c>
      <c r="E37" s="3">
        <f t="shared" si="5"/>
        <v>27</v>
      </c>
      <c r="F37" s="3">
        <f t="shared" si="6"/>
        <v>0</v>
      </c>
      <c r="G37" s="3">
        <f t="shared" si="1"/>
        <v>54</v>
      </c>
      <c r="H37" s="3">
        <f t="shared" si="2"/>
        <v>0</v>
      </c>
      <c r="I37" s="3">
        <f t="shared" si="7"/>
        <v>54</v>
      </c>
      <c r="J37" s="3">
        <f t="shared" si="8"/>
        <v>0</v>
      </c>
      <c r="K37" s="5">
        <f t="shared" si="3"/>
        <v>0</v>
      </c>
      <c r="L37" s="5">
        <f t="shared" si="4"/>
        <v>0</v>
      </c>
    </row>
    <row r="38" spans="1:12" x14ac:dyDescent="0.25">
      <c r="A38" s="3">
        <f t="shared" si="9"/>
        <v>0</v>
      </c>
      <c r="B38" s="3">
        <f t="shared" si="9"/>
        <v>0</v>
      </c>
      <c r="C38" s="4">
        <f t="shared" si="11"/>
        <v>28</v>
      </c>
      <c r="D38" s="3">
        <f t="shared" si="10"/>
        <v>0</v>
      </c>
      <c r="E38" s="3">
        <f t="shared" si="5"/>
        <v>28</v>
      </c>
      <c r="F38" s="3">
        <f t="shared" si="6"/>
        <v>0</v>
      </c>
      <c r="G38" s="3">
        <f t="shared" si="1"/>
        <v>56</v>
      </c>
      <c r="H38" s="3">
        <f t="shared" si="2"/>
        <v>0</v>
      </c>
      <c r="I38" s="3">
        <f t="shared" si="7"/>
        <v>56</v>
      </c>
      <c r="J38" s="3">
        <f t="shared" si="8"/>
        <v>0</v>
      </c>
      <c r="K38" s="5">
        <f t="shared" si="3"/>
        <v>0</v>
      </c>
      <c r="L38" s="5">
        <f t="shared" si="4"/>
        <v>0</v>
      </c>
    </row>
    <row r="39" spans="1:12" x14ac:dyDescent="0.25">
      <c r="A39" s="6">
        <f t="shared" si="9"/>
        <v>0</v>
      </c>
      <c r="B39" s="6">
        <f t="shared" si="9"/>
        <v>0</v>
      </c>
      <c r="C39" s="7">
        <f>A39*3</f>
        <v>0</v>
      </c>
      <c r="D39" s="6">
        <f t="shared" si="10"/>
        <v>0</v>
      </c>
      <c r="E39" s="6">
        <f t="shared" si="5"/>
        <v>0</v>
      </c>
      <c r="F39" s="6">
        <f t="shared" si="6"/>
        <v>0</v>
      </c>
      <c r="G39" s="6">
        <f t="shared" si="1"/>
        <v>0</v>
      </c>
      <c r="H39" s="6">
        <f t="shared" si="2"/>
        <v>0</v>
      </c>
      <c r="I39" s="6">
        <f t="shared" si="7"/>
        <v>0</v>
      </c>
      <c r="J39" s="6">
        <f t="shared" si="8"/>
        <v>0</v>
      </c>
      <c r="K39" s="8">
        <f t="shared" si="3"/>
        <v>0</v>
      </c>
      <c r="L39" s="8">
        <f t="shared" si="4"/>
        <v>0</v>
      </c>
    </row>
    <row r="41" spans="1:12" x14ac:dyDescent="0.25">
      <c r="J41" s="9" t="s">
        <v>12</v>
      </c>
      <c r="K41" s="10">
        <f>MAX(K22:K39)</f>
        <v>22.714400000000001</v>
      </c>
      <c r="L41" s="10">
        <f>MAX(L22:L39)</f>
        <v>0</v>
      </c>
    </row>
  </sheetData>
  <sheetProtection sheet="1" scenarios="1"/>
  <mergeCells count="20">
    <mergeCell ref="F17:L17"/>
    <mergeCell ref="F18:L18"/>
    <mergeCell ref="F7:L8"/>
    <mergeCell ref="F9:L10"/>
    <mergeCell ref="F11:L12"/>
    <mergeCell ref="F13:L15"/>
    <mergeCell ref="F16:L16"/>
    <mergeCell ref="F4:L4"/>
    <mergeCell ref="F5:L5"/>
    <mergeCell ref="F6:L6"/>
    <mergeCell ref="B13:D13"/>
    <mergeCell ref="B5:D5"/>
    <mergeCell ref="B10:D10"/>
    <mergeCell ref="B4:D4"/>
    <mergeCell ref="B9:D9"/>
    <mergeCell ref="B11:D11"/>
    <mergeCell ref="B8:D8"/>
    <mergeCell ref="B12:D12"/>
    <mergeCell ref="B6:D6"/>
    <mergeCell ref="B7:D7"/>
  </mergeCells>
  <dataValidations count="1">
    <dataValidation type="list" allowBlank="1" showInputMessage="1" showErrorMessage="1" sqref="A5">
      <formula1>"AM,PM"</formula1>
    </dataValidation>
  </dataValidations>
  <pageMargins left="0.25" right="0.25" top="0.75" bottom="0.75" header="0.3" footer="0.3"/>
  <pageSetup scale="7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clearSimulatorData">
                <anchor moveWithCells="1" sizeWithCells="1">
                  <from>
                    <xdr:col>0</xdr:col>
                    <xdr:colOff>38100</xdr:colOff>
                    <xdr:row>1</xdr:row>
                    <xdr:rowOff>95250</xdr:rowOff>
                  </from>
                  <to>
                    <xdr:col>1</xdr:col>
                    <xdr:colOff>390525</xdr:colOff>
                    <xdr:row>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5"/>
  <sheetViews>
    <sheetView workbookViewId="0">
      <selection activeCell="B6" sqref="B6"/>
    </sheetView>
  </sheetViews>
  <sheetFormatPr defaultRowHeight="15" x14ac:dyDescent="0.25"/>
  <sheetData>
    <row r="1" spans="1:2" x14ac:dyDescent="0.25">
      <c r="A1" t="s">
        <v>295</v>
      </c>
    </row>
    <row r="3" spans="1:2" x14ac:dyDescent="0.25">
      <c r="B3" t="s">
        <v>300</v>
      </c>
    </row>
    <row r="5" spans="1:2" x14ac:dyDescent="0.25">
      <c r="B5" t="s">
        <v>301</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34"/>
  <sheetViews>
    <sheetView workbookViewId="0">
      <selection activeCell="B18" sqref="B18"/>
    </sheetView>
  </sheetViews>
  <sheetFormatPr defaultRowHeight="15" x14ac:dyDescent="0.25"/>
  <cols>
    <col min="1" max="1" width="56.28515625" customWidth="1"/>
    <col min="2" max="2" width="21.42578125" customWidth="1"/>
    <col min="3" max="3" width="57.5703125" customWidth="1"/>
  </cols>
  <sheetData>
    <row r="1" spans="1:3" ht="31.5" x14ac:dyDescent="0.25">
      <c r="A1" s="23" t="s">
        <v>73</v>
      </c>
      <c r="B1" s="20"/>
    </row>
    <row r="2" spans="1:3" ht="15.75" x14ac:dyDescent="0.25">
      <c r="A2" s="35" t="s">
        <v>135</v>
      </c>
      <c r="B2" s="52" t="s">
        <v>134</v>
      </c>
    </row>
    <row r="3" spans="1:3" ht="15.75" x14ac:dyDescent="0.25">
      <c r="A3" s="35" t="s">
        <v>136</v>
      </c>
      <c r="B3" s="52" t="s">
        <v>137</v>
      </c>
    </row>
    <row r="4" spans="1:3" ht="15.75" x14ac:dyDescent="0.25">
      <c r="A4" s="23"/>
      <c r="B4" s="20"/>
    </row>
    <row r="5" spans="1:3" x14ac:dyDescent="0.25">
      <c r="A5" s="20"/>
      <c r="B5" s="20"/>
    </row>
    <row r="6" spans="1:3" ht="60" x14ac:dyDescent="0.25">
      <c r="A6" s="49" t="s">
        <v>255</v>
      </c>
      <c r="B6" s="49" t="s">
        <v>256</v>
      </c>
      <c r="C6" s="49" t="s">
        <v>257</v>
      </c>
    </row>
    <row r="7" spans="1:3" ht="60" x14ac:dyDescent="0.25">
      <c r="A7" s="49" t="s">
        <v>258</v>
      </c>
      <c r="B7" s="49"/>
      <c r="C7" s="49" t="s">
        <v>259</v>
      </c>
    </row>
    <row r="8" spans="1:3" ht="75" x14ac:dyDescent="0.25">
      <c r="A8" s="49" t="s">
        <v>260</v>
      </c>
      <c r="B8" s="49" t="s">
        <v>261</v>
      </c>
      <c r="C8" s="49" t="s">
        <v>262</v>
      </c>
    </row>
    <row r="9" spans="1:3" ht="135" x14ac:dyDescent="0.25">
      <c r="A9" s="49" t="s">
        <v>263</v>
      </c>
      <c r="B9" s="49" t="s">
        <v>264</v>
      </c>
      <c r="C9" s="49" t="s">
        <v>265</v>
      </c>
    </row>
    <row r="10" spans="1:3" ht="90" x14ac:dyDescent="0.25">
      <c r="A10" s="49" t="s">
        <v>266</v>
      </c>
      <c r="B10" s="49" t="s">
        <v>267</v>
      </c>
      <c r="C10" s="49" t="s">
        <v>268</v>
      </c>
    </row>
    <row r="11" spans="1:3" ht="30" x14ac:dyDescent="0.25">
      <c r="A11" s="49" t="s">
        <v>269</v>
      </c>
      <c r="B11" s="117" t="s">
        <v>270</v>
      </c>
      <c r="C11" s="49" t="s">
        <v>271</v>
      </c>
    </row>
    <row r="12" spans="1:3" ht="60" x14ac:dyDescent="0.25">
      <c r="A12" s="49" t="s">
        <v>272</v>
      </c>
      <c r="B12" s="117"/>
      <c r="C12" s="49" t="s">
        <v>273</v>
      </c>
    </row>
    <row r="13" spans="1:3" ht="60" x14ac:dyDescent="0.25">
      <c r="A13" s="53" t="s">
        <v>274</v>
      </c>
      <c r="B13" s="117"/>
      <c r="C13" s="49" t="s">
        <v>275</v>
      </c>
    </row>
    <row r="14" spans="1:3" x14ac:dyDescent="0.25">
      <c r="A14" s="50" t="s">
        <v>24</v>
      </c>
      <c r="B14" s="50"/>
      <c r="C14" s="50" t="s">
        <v>276</v>
      </c>
    </row>
    <row r="15" spans="1:3" ht="45" x14ac:dyDescent="0.25">
      <c r="A15" s="49" t="s">
        <v>25</v>
      </c>
      <c r="B15" s="117" t="s">
        <v>277</v>
      </c>
      <c r="C15" s="49" t="s">
        <v>278</v>
      </c>
    </row>
    <row r="16" spans="1:3" ht="60" x14ac:dyDescent="0.25">
      <c r="A16" s="49" t="s">
        <v>23</v>
      </c>
      <c r="B16" s="117"/>
      <c r="C16" s="49" t="s">
        <v>279</v>
      </c>
    </row>
    <row r="17" spans="1:3" ht="30" x14ac:dyDescent="0.25">
      <c r="A17" s="54" t="s">
        <v>26</v>
      </c>
      <c r="B17" s="55" t="s">
        <v>280</v>
      </c>
      <c r="C17" s="54" t="s">
        <v>281</v>
      </c>
    </row>
    <row r="18" spans="1:3" ht="90" x14ac:dyDescent="0.25">
      <c r="A18" s="53" t="s">
        <v>282</v>
      </c>
      <c r="B18" s="49" t="s">
        <v>289</v>
      </c>
      <c r="C18" s="49" t="s">
        <v>283</v>
      </c>
    </row>
    <row r="19" spans="1:3" x14ac:dyDescent="0.25">
      <c r="A19" s="50" t="s">
        <v>24</v>
      </c>
      <c r="B19" s="50"/>
      <c r="C19" s="50" t="s">
        <v>284</v>
      </c>
    </row>
    <row r="20" spans="1:3" ht="90" x14ac:dyDescent="0.25">
      <c r="A20" s="49" t="s">
        <v>27</v>
      </c>
      <c r="B20" s="49" t="s">
        <v>290</v>
      </c>
      <c r="C20" s="49" t="s">
        <v>285</v>
      </c>
    </row>
    <row r="21" spans="1:3" ht="105" x14ac:dyDescent="0.25">
      <c r="A21" s="49" t="s">
        <v>286</v>
      </c>
      <c r="B21" s="49" t="s">
        <v>287</v>
      </c>
      <c r="C21" s="49" t="s">
        <v>288</v>
      </c>
    </row>
    <row r="22" spans="1:3" x14ac:dyDescent="0.25">
      <c r="B22" s="50"/>
      <c r="C22" s="20"/>
    </row>
    <row r="23" spans="1:3" x14ac:dyDescent="0.25">
      <c r="B23" s="20"/>
      <c r="C23" s="20"/>
    </row>
    <row r="24" spans="1:3" x14ac:dyDescent="0.25">
      <c r="B24" s="20"/>
    </row>
    <row r="25" spans="1:3" x14ac:dyDescent="0.25">
      <c r="B25" s="20"/>
    </row>
    <row r="26" spans="1:3" x14ac:dyDescent="0.25">
      <c r="A26" s="14"/>
      <c r="B26" s="20"/>
    </row>
    <row r="27" spans="1:3" x14ac:dyDescent="0.25">
      <c r="B27" s="20"/>
    </row>
    <row r="28" spans="1:3" x14ac:dyDescent="0.25">
      <c r="B28" s="20"/>
    </row>
    <row r="29" spans="1:3" x14ac:dyDescent="0.25">
      <c r="B29" s="20"/>
    </row>
    <row r="30" spans="1:3" x14ac:dyDescent="0.25">
      <c r="B30" s="20"/>
    </row>
    <row r="31" spans="1:3" x14ac:dyDescent="0.25">
      <c r="B31" s="20"/>
    </row>
    <row r="32" spans="1:3" x14ac:dyDescent="0.25">
      <c r="B32" s="20"/>
    </row>
    <row r="33" spans="2:2" x14ac:dyDescent="0.25">
      <c r="B33" s="20"/>
    </row>
    <row r="34" spans="2:2" x14ac:dyDescent="0.25">
      <c r="B34" s="20"/>
    </row>
  </sheetData>
  <sheetProtection sheet="1" objects="1" scenarios="1"/>
  <mergeCells count="2">
    <mergeCell ref="B11:B13"/>
    <mergeCell ref="B15:B16"/>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6"/>
  <sheetViews>
    <sheetView topLeftCell="A10" workbookViewId="0">
      <selection activeCell="A56" sqref="A56"/>
    </sheetView>
  </sheetViews>
  <sheetFormatPr defaultRowHeight="15" x14ac:dyDescent="0.25"/>
  <sheetData>
    <row r="1" spans="1:1" x14ac:dyDescent="0.25">
      <c r="A1" s="22" t="s">
        <v>28</v>
      </c>
    </row>
    <row r="2" spans="1:1" x14ac:dyDescent="0.25">
      <c r="A2" s="22" t="s">
        <v>29</v>
      </c>
    </row>
    <row r="3" spans="1:1" x14ac:dyDescent="0.25">
      <c r="A3" s="22" t="s">
        <v>30</v>
      </c>
    </row>
    <row r="4" spans="1:1" x14ac:dyDescent="0.25">
      <c r="A4" s="22" t="s">
        <v>31</v>
      </c>
    </row>
    <row r="5" spans="1:1" x14ac:dyDescent="0.25">
      <c r="A5" s="22" t="s">
        <v>32</v>
      </c>
    </row>
    <row r="6" spans="1:1" x14ac:dyDescent="0.25">
      <c r="A6" s="22" t="s">
        <v>51</v>
      </c>
    </row>
    <row r="7" spans="1:1" x14ac:dyDescent="0.25">
      <c r="A7" s="22" t="s">
        <v>52</v>
      </c>
    </row>
    <row r="8" spans="1:1" x14ac:dyDescent="0.25">
      <c r="A8" s="22" t="s">
        <v>53</v>
      </c>
    </row>
    <row r="9" spans="1:1" x14ac:dyDescent="0.25">
      <c r="A9" s="22" t="s">
        <v>33</v>
      </c>
    </row>
    <row r="10" spans="1:1" x14ac:dyDescent="0.25">
      <c r="A10" s="22" t="s">
        <v>34</v>
      </c>
    </row>
    <row r="11" spans="1:1" x14ac:dyDescent="0.25">
      <c r="A11" s="22" t="s">
        <v>35</v>
      </c>
    </row>
    <row r="12" spans="1:1" x14ac:dyDescent="0.25">
      <c r="A12" s="22" t="s">
        <v>54</v>
      </c>
    </row>
    <row r="13" spans="1:1" x14ac:dyDescent="0.25">
      <c r="A13" s="22" t="s">
        <v>55</v>
      </c>
    </row>
    <row r="14" spans="1:1" x14ac:dyDescent="0.25">
      <c r="A14" s="22" t="s">
        <v>36</v>
      </c>
    </row>
    <row r="15" spans="1:1" x14ac:dyDescent="0.25">
      <c r="A15" s="22" t="s">
        <v>34</v>
      </c>
    </row>
    <row r="16" spans="1:1" x14ac:dyDescent="0.25">
      <c r="A16" s="22" t="s">
        <v>56</v>
      </c>
    </row>
    <row r="17" spans="1:1" x14ac:dyDescent="0.25">
      <c r="A17" s="22" t="s">
        <v>38</v>
      </c>
    </row>
    <row r="18" spans="1:1" x14ac:dyDescent="0.25">
      <c r="A18" s="22" t="s">
        <v>39</v>
      </c>
    </row>
    <row r="19" spans="1:1" x14ac:dyDescent="0.25">
      <c r="A19" s="22" t="s">
        <v>40</v>
      </c>
    </row>
    <row r="20" spans="1:1" x14ac:dyDescent="0.25">
      <c r="A20" s="22" t="s">
        <v>41</v>
      </c>
    </row>
    <row r="21" spans="1:1" x14ac:dyDescent="0.25">
      <c r="A21" s="22" t="s">
        <v>57</v>
      </c>
    </row>
    <row r="22" spans="1:1" x14ac:dyDescent="0.25">
      <c r="A22" s="22" t="s">
        <v>43</v>
      </c>
    </row>
    <row r="23" spans="1:1" x14ac:dyDescent="0.25">
      <c r="A23" s="22" t="s">
        <v>37</v>
      </c>
    </row>
    <row r="24" spans="1:1" x14ac:dyDescent="0.25">
      <c r="A24" s="22" t="s">
        <v>58</v>
      </c>
    </row>
    <row r="25" spans="1:1" x14ac:dyDescent="0.25">
      <c r="A25" s="22" t="s">
        <v>59</v>
      </c>
    </row>
    <row r="26" spans="1:1" x14ac:dyDescent="0.25">
      <c r="A26" s="22" t="s">
        <v>60</v>
      </c>
    </row>
    <row r="27" spans="1:1" x14ac:dyDescent="0.25">
      <c r="A27" s="22" t="s">
        <v>42</v>
      </c>
    </row>
    <row r="28" spans="1:1" x14ac:dyDescent="0.25">
      <c r="A28" s="22" t="s">
        <v>43</v>
      </c>
    </row>
    <row r="29" spans="1:1" x14ac:dyDescent="0.25">
      <c r="A29" s="22" t="s">
        <v>37</v>
      </c>
    </row>
    <row r="30" spans="1:1" x14ac:dyDescent="0.25">
      <c r="A30" s="22" t="s">
        <v>61</v>
      </c>
    </row>
    <row r="31" spans="1:1" x14ac:dyDescent="0.25">
      <c r="A31" s="22" t="s">
        <v>62</v>
      </c>
    </row>
    <row r="32" spans="1:1" x14ac:dyDescent="0.25">
      <c r="A32" s="22" t="s">
        <v>42</v>
      </c>
    </row>
    <row r="33" spans="1:1" x14ac:dyDescent="0.25">
      <c r="A33" s="22" t="s">
        <v>43</v>
      </c>
    </row>
    <row r="34" spans="1:1" x14ac:dyDescent="0.25">
      <c r="A34" s="22" t="s">
        <v>37</v>
      </c>
    </row>
    <row r="35" spans="1:1" x14ac:dyDescent="0.25">
      <c r="A35" s="22" t="s">
        <v>63</v>
      </c>
    </row>
    <row r="36" spans="1:1" x14ac:dyDescent="0.25">
      <c r="A36" s="22" t="s">
        <v>64</v>
      </c>
    </row>
    <row r="37" spans="1:1" x14ac:dyDescent="0.25">
      <c r="A37" s="22" t="s">
        <v>42</v>
      </c>
    </row>
    <row r="38" spans="1:1" x14ac:dyDescent="0.25">
      <c r="A38" s="22" t="s">
        <v>43</v>
      </c>
    </row>
    <row r="39" spans="1:1" x14ac:dyDescent="0.25">
      <c r="A39" s="22" t="s">
        <v>44</v>
      </c>
    </row>
    <row r="40" spans="1:1" x14ac:dyDescent="0.25">
      <c r="A40" s="22" t="s">
        <v>45</v>
      </c>
    </row>
    <row r="41" spans="1:1" x14ac:dyDescent="0.25">
      <c r="A41" s="22" t="s">
        <v>65</v>
      </c>
    </row>
    <row r="42" spans="1:1" x14ac:dyDescent="0.25">
      <c r="A42" s="22" t="s">
        <v>46</v>
      </c>
    </row>
    <row r="43" spans="1:1" x14ac:dyDescent="0.25">
      <c r="A43" s="22" t="s">
        <v>47</v>
      </c>
    </row>
    <row r="44" spans="1:1" x14ac:dyDescent="0.25">
      <c r="A44" s="22" t="s">
        <v>37</v>
      </c>
    </row>
    <row r="45" spans="1:1" x14ac:dyDescent="0.25">
      <c r="A45" s="22" t="s">
        <v>66</v>
      </c>
    </row>
    <row r="46" spans="1:1" x14ac:dyDescent="0.25">
      <c r="A46" s="22" t="s">
        <v>67</v>
      </c>
    </row>
    <row r="47" spans="1:1" x14ac:dyDescent="0.25">
      <c r="A47" s="22" t="s">
        <v>68</v>
      </c>
    </row>
    <row r="48" spans="1:1" x14ac:dyDescent="0.25">
      <c r="A48" s="22" t="s">
        <v>69</v>
      </c>
    </row>
    <row r="49" spans="1:1" x14ac:dyDescent="0.25">
      <c r="A49" s="22" t="s">
        <v>42</v>
      </c>
    </row>
    <row r="50" spans="1:1" x14ac:dyDescent="0.25">
      <c r="A50" s="22" t="s">
        <v>43</v>
      </c>
    </row>
    <row r="51" spans="1:1" x14ac:dyDescent="0.25">
      <c r="A51" s="22" t="s">
        <v>293</v>
      </c>
    </row>
    <row r="52" spans="1:1" x14ac:dyDescent="0.25">
      <c r="A52" s="22" t="s">
        <v>292</v>
      </c>
    </row>
    <row r="53" spans="1:1" x14ac:dyDescent="0.25">
      <c r="A53" s="22" t="s">
        <v>291</v>
      </c>
    </row>
    <row r="54" spans="1:1" x14ac:dyDescent="0.25">
      <c r="A54" s="22" t="s">
        <v>294</v>
      </c>
    </row>
    <row r="55" spans="1:1" x14ac:dyDescent="0.25">
      <c r="A55" s="22" t="s">
        <v>43</v>
      </c>
    </row>
    <row r="56" spans="1:1" x14ac:dyDescent="0.25">
      <c r="A56" s="22" t="s">
        <v>37</v>
      </c>
    </row>
    <row r="57" spans="1:1" x14ac:dyDescent="0.25">
      <c r="A57" s="22" t="s">
        <v>70</v>
      </c>
    </row>
    <row r="58" spans="1:1" x14ac:dyDescent="0.25">
      <c r="A58" s="22" t="s">
        <v>71</v>
      </c>
    </row>
    <row r="59" spans="1:1" x14ac:dyDescent="0.25">
      <c r="A59" s="22" t="s">
        <v>42</v>
      </c>
    </row>
    <row r="60" spans="1:1" x14ac:dyDescent="0.25">
      <c r="A60" s="22" t="s">
        <v>43</v>
      </c>
    </row>
    <row r="61" spans="1:1" x14ac:dyDescent="0.25">
      <c r="A61" s="22" t="s">
        <v>44</v>
      </c>
    </row>
    <row r="62" spans="1:1" x14ac:dyDescent="0.25">
      <c r="A62" s="22" t="s">
        <v>48</v>
      </c>
    </row>
    <row r="63" spans="1:1" x14ac:dyDescent="0.25">
      <c r="A63" s="22" t="s">
        <v>49</v>
      </c>
    </row>
    <row r="64" spans="1:1" x14ac:dyDescent="0.25">
      <c r="A64" s="22" t="s">
        <v>50</v>
      </c>
    </row>
    <row r="65" spans="1:1" x14ac:dyDescent="0.25">
      <c r="A65" s="21"/>
    </row>
    <row r="66" spans="1:1" x14ac:dyDescent="0.25">
      <c r="A66" s="21"/>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3"/>
  <sheetViews>
    <sheetView workbookViewId="0">
      <selection activeCell="I5" sqref="I5"/>
    </sheetView>
  </sheetViews>
  <sheetFormatPr defaultRowHeight="15" x14ac:dyDescent="0.25"/>
  <sheetData>
    <row r="1" spans="1:1" x14ac:dyDescent="0.25">
      <c r="A1" t="s">
        <v>142</v>
      </c>
    </row>
    <row r="2" spans="1:1" x14ac:dyDescent="0.25">
      <c r="A2" t="s">
        <v>143</v>
      </c>
    </row>
    <row r="3" spans="1:1" x14ac:dyDescent="0.25">
      <c r="A3" t="s">
        <v>225</v>
      </c>
    </row>
    <row r="4" spans="1:1" x14ac:dyDescent="0.25">
      <c r="A4" t="s">
        <v>144</v>
      </c>
    </row>
    <row r="5" spans="1:1" x14ac:dyDescent="0.25">
      <c r="A5" t="s">
        <v>226</v>
      </c>
    </row>
    <row r="6" spans="1:1" x14ac:dyDescent="0.25">
      <c r="A6" t="s">
        <v>144</v>
      </c>
    </row>
    <row r="7" spans="1:1" x14ac:dyDescent="0.25">
      <c r="A7" t="s">
        <v>227</v>
      </c>
    </row>
    <row r="8" spans="1:1" x14ac:dyDescent="0.25">
      <c r="A8" t="s">
        <v>228</v>
      </c>
    </row>
    <row r="9" spans="1:1" x14ac:dyDescent="0.25">
      <c r="A9" t="s">
        <v>229</v>
      </c>
    </row>
    <row r="10" spans="1:1" x14ac:dyDescent="0.25">
      <c r="A10" t="s">
        <v>230</v>
      </c>
    </row>
    <row r="11" spans="1:1" x14ac:dyDescent="0.25">
      <c r="A11" t="s">
        <v>144</v>
      </c>
    </row>
    <row r="12" spans="1:1" x14ac:dyDescent="0.25">
      <c r="A12" t="s">
        <v>231</v>
      </c>
    </row>
    <row r="13" spans="1:1" x14ac:dyDescent="0.25">
      <c r="A13" t="s">
        <v>232</v>
      </c>
    </row>
    <row r="14" spans="1:1" x14ac:dyDescent="0.25">
      <c r="A14" t="s">
        <v>233</v>
      </c>
    </row>
    <row r="15" spans="1:1" x14ac:dyDescent="0.25">
      <c r="A15" t="s">
        <v>144</v>
      </c>
    </row>
    <row r="16" spans="1:1" x14ac:dyDescent="0.25">
      <c r="A16" t="s">
        <v>234</v>
      </c>
    </row>
    <row r="17" spans="1:1" x14ac:dyDescent="0.25">
      <c r="A17" t="s">
        <v>235</v>
      </c>
    </row>
    <row r="18" spans="1:1" x14ac:dyDescent="0.25">
      <c r="A18" t="s">
        <v>236</v>
      </c>
    </row>
    <row r="19" spans="1:1" x14ac:dyDescent="0.25">
      <c r="A19" t="s">
        <v>237</v>
      </c>
    </row>
    <row r="20" spans="1:1" x14ac:dyDescent="0.25">
      <c r="A20" t="s">
        <v>238</v>
      </c>
    </row>
    <row r="21" spans="1:1" x14ac:dyDescent="0.25">
      <c r="A21" t="s">
        <v>144</v>
      </c>
    </row>
    <row r="22" spans="1:1" x14ac:dyDescent="0.25">
      <c r="A22" t="s">
        <v>145</v>
      </c>
    </row>
    <row r="23" spans="1:1" x14ac:dyDescent="0.25">
      <c r="A23" t="s">
        <v>144</v>
      </c>
    </row>
    <row r="24" spans="1:1" x14ac:dyDescent="0.25">
      <c r="A24" t="s">
        <v>146</v>
      </c>
    </row>
    <row r="25" spans="1:1" x14ac:dyDescent="0.25">
      <c r="A25" t="s">
        <v>147</v>
      </c>
    </row>
    <row r="26" spans="1:1" x14ac:dyDescent="0.25">
      <c r="A26" t="s">
        <v>148</v>
      </c>
    </row>
    <row r="27" spans="1:1" x14ac:dyDescent="0.25">
      <c r="A27" t="s">
        <v>144</v>
      </c>
    </row>
    <row r="28" spans="1:1" x14ac:dyDescent="0.25">
      <c r="A28" t="s">
        <v>149</v>
      </c>
    </row>
    <row r="29" spans="1:1" x14ac:dyDescent="0.25">
      <c r="A29" t="s">
        <v>150</v>
      </c>
    </row>
    <row r="30" spans="1:1" x14ac:dyDescent="0.25">
      <c r="A30" t="s">
        <v>151</v>
      </c>
    </row>
    <row r="31" spans="1:1" x14ac:dyDescent="0.25">
      <c r="A31" t="s">
        <v>144</v>
      </c>
    </row>
    <row r="32" spans="1:1" x14ac:dyDescent="0.25">
      <c r="A32" t="s">
        <v>152</v>
      </c>
    </row>
    <row r="33" spans="1:1" x14ac:dyDescent="0.25">
      <c r="A33" t="s">
        <v>142</v>
      </c>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45"/>
  <sheetViews>
    <sheetView topLeftCell="A52" workbookViewId="0">
      <selection activeCell="C87" sqref="C87"/>
    </sheetView>
  </sheetViews>
  <sheetFormatPr defaultRowHeight="15" x14ac:dyDescent="0.25"/>
  <cols>
    <col min="1" max="1" width="25.5703125" style="52" customWidth="1"/>
  </cols>
  <sheetData>
    <row r="1" spans="1:1" x14ac:dyDescent="0.25">
      <c r="A1" s="52" t="s">
        <v>89</v>
      </c>
    </row>
    <row r="3" spans="1:1" x14ac:dyDescent="0.25">
      <c r="A3" s="52" t="s">
        <v>90</v>
      </c>
    </row>
    <row r="4" spans="1:1" x14ac:dyDescent="0.25">
      <c r="A4" s="52" t="s">
        <v>91</v>
      </c>
    </row>
    <row r="5" spans="1:1" x14ac:dyDescent="0.25">
      <c r="A5" s="52" t="s">
        <v>92</v>
      </c>
    </row>
    <row r="7" spans="1:1" x14ac:dyDescent="0.25">
      <c r="A7" s="52" t="s">
        <v>311</v>
      </c>
    </row>
    <row r="8" spans="1:1" x14ac:dyDescent="0.25">
      <c r="A8" s="52" t="s">
        <v>312</v>
      </c>
    </row>
    <row r="11" spans="1:1" x14ac:dyDescent="0.25">
      <c r="A11" s="52" t="s">
        <v>95</v>
      </c>
    </row>
    <row r="12" spans="1:1" x14ac:dyDescent="0.25">
      <c r="A12" s="52" t="s">
        <v>96</v>
      </c>
    </row>
    <row r="13" spans="1:1" x14ac:dyDescent="0.25">
      <c r="A13" s="52" t="s">
        <v>103</v>
      </c>
    </row>
    <row r="15" spans="1:1" x14ac:dyDescent="0.25">
      <c r="A15" s="52" t="s">
        <v>104</v>
      </c>
    </row>
    <row r="16" spans="1:1" x14ac:dyDescent="0.25">
      <c r="A16" s="52" t="s">
        <v>97</v>
      </c>
    </row>
    <row r="17" spans="1:1" x14ac:dyDescent="0.25">
      <c r="A17" s="52" t="s">
        <v>98</v>
      </c>
    </row>
    <row r="18" spans="1:1" x14ac:dyDescent="0.25">
      <c r="A18" s="52" t="s">
        <v>218</v>
      </c>
    </row>
    <row r="19" spans="1:1" x14ac:dyDescent="0.25">
      <c r="A19" s="52" t="s">
        <v>99</v>
      </c>
    </row>
    <row r="20" spans="1:1" x14ac:dyDescent="0.25">
      <c r="A20" s="52" t="s">
        <v>105</v>
      </c>
    </row>
    <row r="21" spans="1:1" x14ac:dyDescent="0.25">
      <c r="A21" s="52" t="s">
        <v>108</v>
      </c>
    </row>
    <row r="22" spans="1:1" x14ac:dyDescent="0.25">
      <c r="A22" s="52" t="s">
        <v>106</v>
      </c>
    </row>
    <row r="23" spans="1:1" x14ac:dyDescent="0.25">
      <c r="A23" s="52" t="s">
        <v>239</v>
      </c>
    </row>
    <row r="24" spans="1:1" x14ac:dyDescent="0.25">
      <c r="A24" s="52" t="s">
        <v>100</v>
      </c>
    </row>
    <row r="25" spans="1:1" x14ac:dyDescent="0.25">
      <c r="A25" s="52" t="s">
        <v>101</v>
      </c>
    </row>
    <row r="26" spans="1:1" x14ac:dyDescent="0.25">
      <c r="A26" s="52" t="s">
        <v>107</v>
      </c>
    </row>
    <row r="27" spans="1:1" x14ac:dyDescent="0.25">
      <c r="A27" s="52" t="s">
        <v>109</v>
      </c>
    </row>
    <row r="29" spans="1:1" x14ac:dyDescent="0.25">
      <c r="A29" s="52" t="s">
        <v>221</v>
      </c>
    </row>
    <row r="31" spans="1:1" x14ac:dyDescent="0.25">
      <c r="A31" s="52" t="s">
        <v>217</v>
      </c>
    </row>
    <row r="32" spans="1:1" x14ac:dyDescent="0.25">
      <c r="A32" s="52" t="s">
        <v>153</v>
      </c>
    </row>
    <row r="33" spans="1:1" x14ac:dyDescent="0.25">
      <c r="A33" s="52" t="s">
        <v>154</v>
      </c>
    </row>
    <row r="34" spans="1:1" x14ac:dyDescent="0.25">
      <c r="A34" s="52" t="s">
        <v>155</v>
      </c>
    </row>
    <row r="36" spans="1:1" x14ac:dyDescent="0.25">
      <c r="A36" s="52" t="s">
        <v>156</v>
      </c>
    </row>
    <row r="37" spans="1:1" x14ac:dyDescent="0.25">
      <c r="A37" s="52" t="s">
        <v>306</v>
      </c>
    </row>
    <row r="46" spans="1:1" x14ac:dyDescent="0.25">
      <c r="A46" s="52" t="s">
        <v>321</v>
      </c>
    </row>
    <row r="47" spans="1:1" x14ac:dyDescent="0.25">
      <c r="A47" s="52" t="s">
        <v>240</v>
      </c>
    </row>
    <row r="48" spans="1:1" x14ac:dyDescent="0.25">
      <c r="A48" s="52" t="s">
        <v>222</v>
      </c>
    </row>
    <row r="49" spans="1:1" x14ac:dyDescent="0.25">
      <c r="A49" s="52" t="s">
        <v>223</v>
      </c>
    </row>
    <row r="50" spans="1:1" x14ac:dyDescent="0.25">
      <c r="A50" s="52" t="s">
        <v>224</v>
      </c>
    </row>
    <row r="51" spans="1:1" x14ac:dyDescent="0.25">
      <c r="A51" s="52" t="s">
        <v>299</v>
      </c>
    </row>
    <row r="56" spans="1:1" x14ac:dyDescent="0.25">
      <c r="A56" s="52" t="s">
        <v>89</v>
      </c>
    </row>
    <row r="58" spans="1:1" x14ac:dyDescent="0.25">
      <c r="A58" s="52" t="s">
        <v>242</v>
      </c>
    </row>
    <row r="59" spans="1:1" x14ac:dyDescent="0.25">
      <c r="A59" s="52" t="s">
        <v>352</v>
      </c>
    </row>
    <row r="60" spans="1:1" x14ac:dyDescent="0.25">
      <c r="A60" s="52" t="s">
        <v>243</v>
      </c>
    </row>
    <row r="61" spans="1:1" x14ac:dyDescent="0.25">
      <c r="A61" s="52" t="s">
        <v>244</v>
      </c>
    </row>
    <row r="62" spans="1:1" x14ac:dyDescent="0.25">
      <c r="A62" s="52" t="s">
        <v>245</v>
      </c>
    </row>
    <row r="63" spans="1:1" x14ac:dyDescent="0.25">
      <c r="A63" s="52" t="s">
        <v>314</v>
      </c>
    </row>
    <row r="64" spans="1:1" x14ac:dyDescent="0.25">
      <c r="A64" s="52" t="s">
        <v>246</v>
      </c>
    </row>
    <row r="66" spans="1:2" x14ac:dyDescent="0.25">
      <c r="A66" s="52" t="s">
        <v>252</v>
      </c>
    </row>
    <row r="73" spans="1:2" x14ac:dyDescent="0.25">
      <c r="A73" s="52" t="s">
        <v>328</v>
      </c>
    </row>
    <row r="74" spans="1:2" x14ac:dyDescent="0.25">
      <c r="A74" s="52" t="s">
        <v>111</v>
      </c>
    </row>
    <row r="76" spans="1:2" x14ac:dyDescent="0.25">
      <c r="A76" s="52" t="s">
        <v>112</v>
      </c>
    </row>
    <row r="77" spans="1:2" x14ac:dyDescent="0.25">
      <c r="B77" t="s">
        <v>113</v>
      </c>
    </row>
    <row r="79" spans="1:2" x14ac:dyDescent="0.25">
      <c r="A79" s="52" t="s">
        <v>114</v>
      </c>
    </row>
    <row r="80" spans="1:2" x14ac:dyDescent="0.25">
      <c r="B80" t="s">
        <v>115</v>
      </c>
    </row>
    <row r="82" spans="1:3" x14ac:dyDescent="0.25">
      <c r="A82" s="52" t="s">
        <v>116</v>
      </c>
    </row>
    <row r="84" spans="1:3" x14ac:dyDescent="0.25">
      <c r="A84" s="52" t="s">
        <v>74</v>
      </c>
      <c r="C84" t="s">
        <v>117</v>
      </c>
    </row>
    <row r="85" spans="1:3" x14ac:dyDescent="0.25">
      <c r="A85" s="52" t="s">
        <v>75</v>
      </c>
      <c r="C85" t="s">
        <v>118</v>
      </c>
    </row>
    <row r="86" spans="1:3" x14ac:dyDescent="0.25">
      <c r="A86" s="52" t="s">
        <v>16</v>
      </c>
      <c r="C86" t="s">
        <v>355</v>
      </c>
    </row>
    <row r="87" spans="1:3" x14ac:dyDescent="0.25">
      <c r="A87" s="52" t="s">
        <v>17</v>
      </c>
      <c r="C87" t="s">
        <v>119</v>
      </c>
    </row>
    <row r="88" spans="1:3" x14ac:dyDescent="0.25">
      <c r="A88" s="52" t="s">
        <v>86</v>
      </c>
      <c r="C88" t="s">
        <v>122</v>
      </c>
    </row>
    <row r="89" spans="1:3" x14ac:dyDescent="0.25">
      <c r="A89" s="52" t="s">
        <v>87</v>
      </c>
      <c r="C89" t="s">
        <v>120</v>
      </c>
    </row>
    <row r="90" spans="1:3" x14ac:dyDescent="0.25">
      <c r="A90" s="52" t="s">
        <v>88</v>
      </c>
      <c r="C90" t="s">
        <v>121</v>
      </c>
    </row>
    <row r="91" spans="1:3" x14ac:dyDescent="0.25">
      <c r="A91" s="52" t="s">
        <v>13</v>
      </c>
      <c r="C91" t="s">
        <v>123</v>
      </c>
    </row>
    <row r="93" spans="1:3" x14ac:dyDescent="0.25">
      <c r="A93" s="52" t="s">
        <v>6</v>
      </c>
      <c r="C93" t="s">
        <v>124</v>
      </c>
    </row>
    <row r="94" spans="1:3" x14ac:dyDescent="0.25">
      <c r="A94" s="52" t="s">
        <v>7</v>
      </c>
      <c r="C94" t="s">
        <v>125</v>
      </c>
    </row>
    <row r="95" spans="1:3" x14ac:dyDescent="0.25">
      <c r="A95" s="52" t="s">
        <v>8</v>
      </c>
      <c r="C95" t="s">
        <v>126</v>
      </c>
    </row>
    <row r="96" spans="1:3" x14ac:dyDescent="0.25">
      <c r="A96" s="52" t="s">
        <v>9</v>
      </c>
      <c r="C96" t="s">
        <v>127</v>
      </c>
    </row>
    <row r="97" spans="1:3" x14ac:dyDescent="0.25">
      <c r="A97" s="52" t="s">
        <v>76</v>
      </c>
      <c r="C97" t="s">
        <v>128</v>
      </c>
    </row>
    <row r="98" spans="1:3" x14ac:dyDescent="0.25">
      <c r="A98" s="52" t="s">
        <v>77</v>
      </c>
      <c r="C98" t="s">
        <v>322</v>
      </c>
    </row>
    <row r="99" spans="1:3" x14ac:dyDescent="0.25">
      <c r="A99" s="52" t="s">
        <v>78</v>
      </c>
      <c r="C99" t="s">
        <v>323</v>
      </c>
    </row>
    <row r="100" spans="1:3" x14ac:dyDescent="0.25">
      <c r="A100" s="52" t="s">
        <v>79</v>
      </c>
      <c r="C100" t="s">
        <v>324</v>
      </c>
    </row>
    <row r="101" spans="1:3" x14ac:dyDescent="0.25">
      <c r="A101" s="52" t="s">
        <v>80</v>
      </c>
      <c r="C101" t="s">
        <v>129</v>
      </c>
    </row>
    <row r="102" spans="1:3" x14ac:dyDescent="0.25">
      <c r="A102" s="52" t="s">
        <v>81</v>
      </c>
      <c r="C102" t="s">
        <v>130</v>
      </c>
    </row>
    <row r="103" spans="1:3" x14ac:dyDescent="0.25">
      <c r="A103" s="52" t="s">
        <v>82</v>
      </c>
      <c r="C103" t="s">
        <v>131</v>
      </c>
    </row>
    <row r="104" spans="1:3" x14ac:dyDescent="0.25">
      <c r="A104" s="52" t="s">
        <v>83</v>
      </c>
      <c r="C104" t="s">
        <v>325</v>
      </c>
    </row>
    <row r="105" spans="1:3" x14ac:dyDescent="0.25">
      <c r="A105" s="52" t="s">
        <v>13</v>
      </c>
      <c r="C105" t="s">
        <v>132</v>
      </c>
    </row>
    <row r="106" spans="1:3" x14ac:dyDescent="0.25">
      <c r="A106" s="52" t="s">
        <v>15</v>
      </c>
      <c r="C106" t="s">
        <v>133</v>
      </c>
    </row>
    <row r="108" spans="1:3" x14ac:dyDescent="0.25">
      <c r="A108" s="52" t="s">
        <v>138</v>
      </c>
      <c r="B108" t="s">
        <v>139</v>
      </c>
    </row>
    <row r="109" spans="1:3" x14ac:dyDescent="0.25">
      <c r="B109" t="s">
        <v>141</v>
      </c>
    </row>
    <row r="110" spans="1:3" x14ac:dyDescent="0.25">
      <c r="B110" t="s">
        <v>140</v>
      </c>
    </row>
    <row r="116" spans="1:1" x14ac:dyDescent="0.25">
      <c r="A116" s="52" t="s">
        <v>327</v>
      </c>
    </row>
    <row r="117" spans="1:1" x14ac:dyDescent="0.25">
      <c r="A117" s="52" t="s">
        <v>302</v>
      </c>
    </row>
    <row r="118" spans="1:1" x14ac:dyDescent="0.25">
      <c r="A118" s="52" t="s">
        <v>1</v>
      </c>
    </row>
    <row r="119" spans="1:1" x14ac:dyDescent="0.25">
      <c r="A119" s="52" t="s">
        <v>296</v>
      </c>
    </row>
    <row r="120" spans="1:1" x14ac:dyDescent="0.25">
      <c r="A120" s="52" t="s">
        <v>297</v>
      </c>
    </row>
    <row r="121" spans="1:1" x14ac:dyDescent="0.25">
      <c r="A121" s="52" t="s">
        <v>20</v>
      </c>
    </row>
    <row r="122" spans="1:1" x14ac:dyDescent="0.25">
      <c r="A122" s="52" t="s">
        <v>21</v>
      </c>
    </row>
    <row r="123" spans="1:1" x14ac:dyDescent="0.25">
      <c r="A123" s="52" t="s">
        <v>18</v>
      </c>
    </row>
    <row r="124" spans="1:1" x14ac:dyDescent="0.25">
      <c r="A124" s="52" t="s">
        <v>19</v>
      </c>
    </row>
    <row r="125" spans="1:1" x14ac:dyDescent="0.25">
      <c r="A125" s="52" t="s">
        <v>22</v>
      </c>
    </row>
    <row r="126" spans="1:1" x14ac:dyDescent="0.25">
      <c r="A126" s="52" t="s">
        <v>0</v>
      </c>
    </row>
    <row r="130" spans="1:1" x14ac:dyDescent="0.25">
      <c r="A130" s="52" t="s">
        <v>89</v>
      </c>
    </row>
    <row r="131" spans="1:1" x14ac:dyDescent="0.25">
      <c r="A131" s="52" t="s">
        <v>334</v>
      </c>
    </row>
    <row r="132" spans="1:1" x14ac:dyDescent="0.25">
      <c r="A132" s="52" t="s">
        <v>333</v>
      </c>
    </row>
    <row r="133" spans="1:1" x14ac:dyDescent="0.25">
      <c r="A133" s="52" t="s">
        <v>336</v>
      </c>
    </row>
    <row r="134" spans="1:1" x14ac:dyDescent="0.25">
      <c r="A134" s="52" t="s">
        <v>337</v>
      </c>
    </row>
    <row r="136" spans="1:1" x14ac:dyDescent="0.25">
      <c r="A136" s="52" t="s">
        <v>338</v>
      </c>
    </row>
    <row r="138" spans="1:1" x14ac:dyDescent="0.25">
      <c r="A138" s="52" t="s">
        <v>339</v>
      </c>
    </row>
    <row r="140" spans="1:1" x14ac:dyDescent="0.25">
      <c r="A140" s="52" t="s">
        <v>303</v>
      </c>
    </row>
    <row r="143" spans="1:1" x14ac:dyDescent="0.25">
      <c r="A143" s="52" t="s">
        <v>331</v>
      </c>
    </row>
    <row r="144" spans="1:1" x14ac:dyDescent="0.25">
      <c r="A144" s="52" t="s">
        <v>332</v>
      </c>
    </row>
    <row r="145" spans="1:1" x14ac:dyDescent="0.25">
      <c r="A145" s="52" t="s">
        <v>335</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45"/>
  <sheetViews>
    <sheetView topLeftCell="A73" workbookViewId="0">
      <selection activeCell="C87" sqref="C87"/>
    </sheetView>
  </sheetViews>
  <sheetFormatPr defaultRowHeight="15" x14ac:dyDescent="0.25"/>
  <cols>
    <col min="1" max="1" width="30.85546875" style="65" customWidth="1"/>
  </cols>
  <sheetData>
    <row r="1" spans="1:1" x14ac:dyDescent="0.25">
      <c r="A1" s="65" t="s">
        <v>254</v>
      </c>
    </row>
    <row r="3" spans="1:1" x14ac:dyDescent="0.25">
      <c r="A3" s="65" t="s">
        <v>309</v>
      </c>
    </row>
    <row r="4" spans="1:1" x14ac:dyDescent="0.25">
      <c r="A4" s="65" t="s">
        <v>307</v>
      </c>
    </row>
    <row r="5" spans="1:1" x14ac:dyDescent="0.25">
      <c r="A5" s="65" t="s">
        <v>308</v>
      </c>
    </row>
    <row r="7" spans="1:1" x14ac:dyDescent="0.25">
      <c r="A7" s="65" t="s">
        <v>310</v>
      </c>
    </row>
    <row r="8" spans="1:1" x14ac:dyDescent="0.25">
      <c r="A8" s="65" t="s">
        <v>313</v>
      </c>
    </row>
    <row r="11" spans="1:1" x14ac:dyDescent="0.25">
      <c r="A11" s="65" t="s">
        <v>167</v>
      </c>
    </row>
    <row r="12" spans="1:1" x14ac:dyDescent="0.25">
      <c r="A12" s="65" t="s">
        <v>168</v>
      </c>
    </row>
    <row r="13" spans="1:1" x14ac:dyDescent="0.25">
      <c r="A13" s="65" t="s">
        <v>169</v>
      </c>
    </row>
    <row r="15" spans="1:1" x14ac:dyDescent="0.25">
      <c r="A15" s="65" t="s">
        <v>171</v>
      </c>
    </row>
    <row r="16" spans="1:1" x14ac:dyDescent="0.25">
      <c r="A16" s="65" t="s">
        <v>172</v>
      </c>
    </row>
    <row r="17" spans="1:1" x14ac:dyDescent="0.25">
      <c r="A17" s="65" t="s">
        <v>173</v>
      </c>
    </row>
    <row r="18" spans="1:1" x14ac:dyDescent="0.25">
      <c r="A18" s="65" t="s">
        <v>219</v>
      </c>
    </row>
    <row r="19" spans="1:1" x14ac:dyDescent="0.25">
      <c r="A19" s="65" t="s">
        <v>174</v>
      </c>
    </row>
    <row r="20" spans="1:1" x14ac:dyDescent="0.25">
      <c r="A20" s="65" t="s">
        <v>175</v>
      </c>
    </row>
    <row r="21" spans="1:1" x14ac:dyDescent="0.25">
      <c r="A21" s="65" t="s">
        <v>176</v>
      </c>
    </row>
    <row r="22" spans="1:1" x14ac:dyDescent="0.25">
      <c r="A22" s="65" t="s">
        <v>177</v>
      </c>
    </row>
    <row r="23" spans="1:1" x14ac:dyDescent="0.25">
      <c r="A23" s="65" t="s">
        <v>241</v>
      </c>
    </row>
    <row r="24" spans="1:1" x14ac:dyDescent="0.25">
      <c r="A24" s="65" t="s">
        <v>178</v>
      </c>
    </row>
    <row r="25" spans="1:1" x14ac:dyDescent="0.25">
      <c r="A25" s="65" t="s">
        <v>179</v>
      </c>
    </row>
    <row r="26" spans="1:1" x14ac:dyDescent="0.25">
      <c r="A26" s="65" t="s">
        <v>180</v>
      </c>
    </row>
    <row r="27" spans="1:1" x14ac:dyDescent="0.25">
      <c r="A27" s="65" t="s">
        <v>181</v>
      </c>
    </row>
    <row r="29" spans="1:1" x14ac:dyDescent="0.25">
      <c r="A29" s="65" t="s">
        <v>183</v>
      </c>
    </row>
    <row r="31" spans="1:1" x14ac:dyDescent="0.25">
      <c r="A31" s="65" t="s">
        <v>184</v>
      </c>
    </row>
    <row r="32" spans="1:1" x14ac:dyDescent="0.25">
      <c r="A32" s="65" t="s">
        <v>220</v>
      </c>
    </row>
    <row r="33" spans="1:1" x14ac:dyDescent="0.25">
      <c r="A33" s="65" t="s">
        <v>185</v>
      </c>
    </row>
    <row r="34" spans="1:1" x14ac:dyDescent="0.25">
      <c r="A34" s="65" t="s">
        <v>186</v>
      </c>
    </row>
    <row r="36" spans="1:1" x14ac:dyDescent="0.25">
      <c r="A36" s="65" t="s">
        <v>187</v>
      </c>
    </row>
    <row r="37" spans="1:1" x14ac:dyDescent="0.25">
      <c r="A37" s="65" t="s">
        <v>188</v>
      </c>
    </row>
    <row r="47" spans="1:1" x14ac:dyDescent="0.25">
      <c r="A47" s="65" t="s">
        <v>316</v>
      </c>
    </row>
    <row r="48" spans="1:1" x14ac:dyDescent="0.25">
      <c r="A48" s="65" t="s">
        <v>317</v>
      </c>
    </row>
    <row r="49" spans="1:1" x14ac:dyDescent="0.25">
      <c r="A49" s="65" t="s">
        <v>318</v>
      </c>
    </row>
    <row r="50" spans="1:1" x14ac:dyDescent="0.25">
      <c r="A50" s="65" t="s">
        <v>319</v>
      </c>
    </row>
    <row r="51" spans="1:1" x14ac:dyDescent="0.25">
      <c r="A51" s="65" t="s">
        <v>320</v>
      </c>
    </row>
    <row r="56" spans="1:1" x14ac:dyDescent="0.25">
      <c r="A56" s="65" t="s">
        <v>254</v>
      </c>
    </row>
    <row r="58" spans="1:1" x14ac:dyDescent="0.25">
      <c r="A58" s="65" t="s">
        <v>247</v>
      </c>
    </row>
    <row r="59" spans="1:1" x14ac:dyDescent="0.25">
      <c r="A59" s="65" t="s">
        <v>353</v>
      </c>
    </row>
    <row r="60" spans="1:1" x14ac:dyDescent="0.25">
      <c r="A60" s="65" t="s">
        <v>248</v>
      </c>
    </row>
    <row r="61" spans="1:1" x14ac:dyDescent="0.25">
      <c r="A61" s="65" t="s">
        <v>249</v>
      </c>
    </row>
    <row r="62" spans="1:1" x14ac:dyDescent="0.25">
      <c r="A62" s="65" t="s">
        <v>250</v>
      </c>
    </row>
    <row r="63" spans="1:1" x14ac:dyDescent="0.25">
      <c r="A63" s="65" t="s">
        <v>315</v>
      </c>
    </row>
    <row r="64" spans="1:1" x14ac:dyDescent="0.25">
      <c r="A64" s="65" t="s">
        <v>251</v>
      </c>
    </row>
    <row r="66" spans="1:2" x14ac:dyDescent="0.25">
      <c r="A66" s="65" t="s">
        <v>253</v>
      </c>
    </row>
    <row r="74" spans="1:2" x14ac:dyDescent="0.25">
      <c r="A74" s="65" t="s">
        <v>216</v>
      </c>
    </row>
    <row r="76" spans="1:2" x14ac:dyDescent="0.25">
      <c r="A76" s="65" t="s">
        <v>213</v>
      </c>
    </row>
    <row r="77" spans="1:2" x14ac:dyDescent="0.25">
      <c r="B77" t="s">
        <v>113</v>
      </c>
    </row>
    <row r="79" spans="1:2" x14ac:dyDescent="0.25">
      <c r="A79" s="65" t="s">
        <v>214</v>
      </c>
    </row>
    <row r="80" spans="1:2" x14ac:dyDescent="0.25">
      <c r="B80" t="s">
        <v>215</v>
      </c>
    </row>
    <row r="82" spans="1:3" x14ac:dyDescent="0.25">
      <c r="A82" s="65" t="s">
        <v>189</v>
      </c>
    </row>
    <row r="84" spans="1:3" x14ac:dyDescent="0.25">
      <c r="A84" s="65" t="s">
        <v>74</v>
      </c>
      <c r="C84" t="s">
        <v>190</v>
      </c>
    </row>
    <row r="85" spans="1:3" x14ac:dyDescent="0.25">
      <c r="A85" s="65" t="s">
        <v>75</v>
      </c>
      <c r="C85" t="s">
        <v>191</v>
      </c>
    </row>
    <row r="86" spans="1:3" x14ac:dyDescent="0.25">
      <c r="A86" s="65" t="s">
        <v>16</v>
      </c>
      <c r="C86" t="s">
        <v>356</v>
      </c>
    </row>
    <row r="87" spans="1:3" x14ac:dyDescent="0.25">
      <c r="A87" s="65" t="s">
        <v>17</v>
      </c>
      <c r="C87" t="s">
        <v>192</v>
      </c>
    </row>
    <row r="88" spans="1:3" x14ac:dyDescent="0.25">
      <c r="A88" s="65" t="s">
        <v>86</v>
      </c>
      <c r="C88" t="s">
        <v>193</v>
      </c>
    </row>
    <row r="89" spans="1:3" x14ac:dyDescent="0.25">
      <c r="A89" s="65" t="s">
        <v>87</v>
      </c>
      <c r="C89" t="s">
        <v>194</v>
      </c>
    </row>
    <row r="90" spans="1:3" x14ac:dyDescent="0.25">
      <c r="A90" s="65" t="s">
        <v>88</v>
      </c>
      <c r="C90" t="s">
        <v>195</v>
      </c>
    </row>
    <row r="91" spans="1:3" x14ac:dyDescent="0.25">
      <c r="A91" s="65" t="s">
        <v>13</v>
      </c>
      <c r="C91" t="s">
        <v>196</v>
      </c>
    </row>
    <row r="93" spans="1:3" x14ac:dyDescent="0.25">
      <c r="A93" s="65" t="s">
        <v>6</v>
      </c>
      <c r="C93" t="s">
        <v>197</v>
      </c>
    </row>
    <row r="94" spans="1:3" x14ac:dyDescent="0.25">
      <c r="A94" s="65" t="s">
        <v>7</v>
      </c>
      <c r="C94" t="s">
        <v>198</v>
      </c>
    </row>
    <row r="95" spans="1:3" x14ac:dyDescent="0.25">
      <c r="A95" s="65" t="s">
        <v>8</v>
      </c>
      <c r="C95" t="s">
        <v>199</v>
      </c>
    </row>
    <row r="96" spans="1:3" x14ac:dyDescent="0.25">
      <c r="A96" s="65" t="s">
        <v>9</v>
      </c>
      <c r="C96" t="s">
        <v>200</v>
      </c>
    </row>
    <row r="97" spans="1:3" x14ac:dyDescent="0.25">
      <c r="A97" s="65" t="s">
        <v>76</v>
      </c>
      <c r="C97" t="s">
        <v>201</v>
      </c>
    </row>
    <row r="98" spans="1:3" x14ac:dyDescent="0.25">
      <c r="A98" s="65" t="s">
        <v>77</v>
      </c>
      <c r="C98" t="s">
        <v>326</v>
      </c>
    </row>
    <row r="99" spans="1:3" x14ac:dyDescent="0.25">
      <c r="A99" s="65" t="s">
        <v>78</v>
      </c>
      <c r="C99" t="s">
        <v>202</v>
      </c>
    </row>
    <row r="100" spans="1:3" x14ac:dyDescent="0.25">
      <c r="A100" s="65" t="s">
        <v>79</v>
      </c>
      <c r="C100" t="s">
        <v>203</v>
      </c>
    </row>
    <row r="101" spans="1:3" x14ac:dyDescent="0.25">
      <c r="A101" s="65" t="s">
        <v>80</v>
      </c>
      <c r="C101" t="s">
        <v>204</v>
      </c>
    </row>
    <row r="102" spans="1:3" x14ac:dyDescent="0.25">
      <c r="A102" s="65" t="s">
        <v>81</v>
      </c>
      <c r="C102" t="s">
        <v>205</v>
      </c>
    </row>
    <row r="103" spans="1:3" x14ac:dyDescent="0.25">
      <c r="A103" s="65" t="s">
        <v>82</v>
      </c>
      <c r="C103" t="s">
        <v>206</v>
      </c>
    </row>
    <row r="104" spans="1:3" x14ac:dyDescent="0.25">
      <c r="A104" s="65" t="s">
        <v>83</v>
      </c>
      <c r="C104" t="s">
        <v>207</v>
      </c>
    </row>
    <row r="105" spans="1:3" x14ac:dyDescent="0.25">
      <c r="A105" s="65" t="s">
        <v>13</v>
      </c>
      <c r="C105" t="s">
        <v>208</v>
      </c>
    </row>
    <row r="106" spans="1:3" x14ac:dyDescent="0.25">
      <c r="A106" s="65" t="s">
        <v>15</v>
      </c>
      <c r="C106" t="s">
        <v>209</v>
      </c>
    </row>
    <row r="108" spans="1:3" x14ac:dyDescent="0.25">
      <c r="A108" s="65" t="s">
        <v>138</v>
      </c>
      <c r="B108" t="s">
        <v>210</v>
      </c>
    </row>
    <row r="109" spans="1:3" x14ac:dyDescent="0.25">
      <c r="B109" t="s">
        <v>211</v>
      </c>
    </row>
    <row r="110" spans="1:3" x14ac:dyDescent="0.25">
      <c r="B110" t="s">
        <v>212</v>
      </c>
    </row>
    <row r="117" spans="1:5" x14ac:dyDescent="0.25">
      <c r="A117" s="65" t="s">
        <v>158</v>
      </c>
      <c r="E117" s="52"/>
    </row>
    <row r="118" spans="1:5" x14ac:dyDescent="0.25">
      <c r="A118" s="65" t="s">
        <v>162</v>
      </c>
      <c r="E118" s="52"/>
    </row>
    <row r="119" spans="1:5" x14ac:dyDescent="0.25">
      <c r="A119" s="65" t="s">
        <v>159</v>
      </c>
      <c r="E119" s="52"/>
    </row>
    <row r="120" spans="1:5" x14ac:dyDescent="0.25">
      <c r="A120" s="65" t="s">
        <v>160</v>
      </c>
      <c r="E120" s="52"/>
    </row>
    <row r="121" spans="1:5" x14ac:dyDescent="0.25">
      <c r="A121" s="65" t="s">
        <v>163</v>
      </c>
      <c r="E121" s="52"/>
    </row>
    <row r="122" spans="1:5" x14ac:dyDescent="0.25">
      <c r="A122" s="65" t="s">
        <v>164</v>
      </c>
      <c r="E122" s="52"/>
    </row>
    <row r="123" spans="1:5" x14ac:dyDescent="0.25">
      <c r="A123" s="65" t="s">
        <v>165</v>
      </c>
      <c r="E123" s="52"/>
    </row>
    <row r="124" spans="1:5" x14ac:dyDescent="0.25">
      <c r="A124" s="65" t="s">
        <v>166</v>
      </c>
      <c r="E124" s="52"/>
    </row>
    <row r="125" spans="1:5" x14ac:dyDescent="0.25">
      <c r="A125" s="65" t="s">
        <v>329</v>
      </c>
      <c r="E125" s="52"/>
    </row>
    <row r="126" spans="1:5" x14ac:dyDescent="0.25">
      <c r="A126" s="65" t="s">
        <v>161</v>
      </c>
      <c r="E126" s="52"/>
    </row>
    <row r="130" spans="1:1" x14ac:dyDescent="0.25">
      <c r="A130" s="65" t="s">
        <v>89</v>
      </c>
    </row>
    <row r="131" spans="1:1" x14ac:dyDescent="0.25">
      <c r="A131" s="65" t="s">
        <v>341</v>
      </c>
    </row>
    <row r="132" spans="1:1" x14ac:dyDescent="0.25">
      <c r="A132" s="65" t="s">
        <v>342</v>
      </c>
    </row>
    <row r="133" spans="1:1" x14ac:dyDescent="0.25">
      <c r="A133" s="65" t="s">
        <v>343</v>
      </c>
    </row>
    <row r="134" spans="1:1" x14ac:dyDescent="0.25">
      <c r="A134" s="65" t="s">
        <v>344</v>
      </c>
    </row>
    <row r="136" spans="1:1" x14ac:dyDescent="0.25">
      <c r="A136" s="65" t="s">
        <v>345</v>
      </c>
    </row>
    <row r="138" spans="1:1" x14ac:dyDescent="0.25">
      <c r="A138" s="65" t="s">
        <v>346</v>
      </c>
    </row>
    <row r="140" spans="1:1" x14ac:dyDescent="0.25">
      <c r="A140" s="65" t="s">
        <v>347</v>
      </c>
    </row>
    <row r="143" spans="1:1" x14ac:dyDescent="0.25">
      <c r="A143" s="65" t="s">
        <v>348</v>
      </c>
    </row>
    <row r="144" spans="1:1" x14ac:dyDescent="0.25">
      <c r="A144" s="65" t="s">
        <v>349</v>
      </c>
    </row>
    <row r="145" spans="1:1" x14ac:dyDescent="0.25">
      <c r="A145" s="65" t="s">
        <v>350</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Config</vt:lpstr>
      <vt:lpstr>Data</vt:lpstr>
      <vt:lpstr>Events</vt:lpstr>
      <vt:lpstr>Simulator</vt:lpstr>
      <vt:lpstr>FlexD</vt:lpstr>
      <vt:lpstr>Definitions</vt:lpstr>
      <vt:lpstr>Flowchart</vt:lpstr>
      <vt:lpstr>License</vt:lpstr>
      <vt:lpstr>Lang-EN</vt:lpstr>
      <vt:lpstr>Lang-FR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ILLIG</dc:creator>
  <cp:lastModifiedBy>Tony ILLIG</cp:lastModifiedBy>
  <cp:lastPrinted>2026-01-29T20:06:14Z</cp:lastPrinted>
  <dcterms:created xsi:type="dcterms:W3CDTF">2026-01-07T12:53:44Z</dcterms:created>
  <dcterms:modified xsi:type="dcterms:W3CDTF">2026-02-26T16:19:20Z</dcterms:modified>
</cp:coreProperties>
</file>